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lips" sheetId="2" state="visible" r:id="rId4"/>
    <sheet name="Labels" sheetId="3" state="visible" r:id="rId5"/>
    <sheet name="Caption_Eval" sheetId="4" state="visible" r:id="rId6"/>
    <sheet name="Relabel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<sst xmlns="http://schemas.openxmlformats.org/spreadsheetml/2006/main" count="141" uniqueCount="133">
  <si>
    <t xml:space="preserve">Mini Video Annotation Project - workbook guide</t>
  </si>
  <si>
    <t xml:space="preserve">Yellow cells are for you to fill in. Everything else is formula-driven or fixed. Row 2 of each input sheet holds a blue EXAMPLE row; overwrite it with real data.</t>
  </si>
  <si>
    <t xml:space="preserve">1. Clips: enter 50 clip titles, source URLs and licence (CC-BY or public dataset).</t>
  </si>
  <si>
    <t xml:space="preserve">2. Labels: label each clip per annotation_guidelines.md. Dropdowns enforce allowed values.</t>
  </si>
  <si>
    <t xml:space="preserve">3. Caption_Eval: paste an AI-generated caption per clip, rate it 1-5 and mark error types (Y/N).</t>
  </si>
  <si>
    <t xml:space="preserve">4. Relabel: 20 clips are pre-picked (clip numbers 3,5,8,10,13,15,18,20,23,25,28,30,33,35,38,40,43,45,48,50). Re-label them 2-3 days later WITHOUT looking at Round 1.</t>
  </si>
  <si>
    <t xml:space="preserve">5. Summary: counts, caption scores and agreement rates calculate automatically.</t>
  </si>
  <si>
    <t xml:space="preserve">Tip: hide the Round 1 columns (B:E) in Relabel before Round 2 so you can't peek.</t>
  </si>
  <si>
    <t xml:space="preserve">Assumption: about 1 minute per clip, so ~50 min for labeling; this is the timing driver for the project.</t>
  </si>
  <si>
    <t xml:space="preserve">Clip_ID</t>
  </si>
  <si>
    <t xml:space="preserve">Title / description</t>
  </si>
  <si>
    <t xml:space="preserve">Source URL</t>
  </si>
  <si>
    <t xml:space="preserve">Licence</t>
  </si>
  <si>
    <t xml:space="preserve">Duration_s</t>
  </si>
  <si>
    <t xml:space="preserve">C001</t>
  </si>
  <si>
    <t xml:space="preserve">EXAMPLE: person chopping vegetables</t>
  </si>
  <si>
    <t xml:space="preserve">https://youtube.com/watch?v=EXAMPLE</t>
  </si>
  <si>
    <t xml:space="preserve">CC-BY</t>
  </si>
  <si>
    <t xml:space="preserve">C002</t>
  </si>
  <si>
    <t xml:space="preserve">C003</t>
  </si>
  <si>
    <t xml:space="preserve">C004</t>
  </si>
  <si>
    <t xml:space="preserve">C005</t>
  </si>
  <si>
    <t xml:space="preserve">C006</t>
  </si>
  <si>
    <t xml:space="preserve">C007</t>
  </si>
  <si>
    <t xml:space="preserve">C008</t>
  </si>
  <si>
    <t xml:space="preserve">C009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</si>
  <si>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</si>
  <si>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</si>
  <si>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</si>
  <si>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</si>
  <si>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</si>
  <si>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</si>
  <si>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C016</t>
  </si>
  <si>
    <t xml:space="preserve">C017</t>
  </si>
  <si>
    <t xml:space="preserve">C018</t>
  </si>
  <si>
    <t xml:space="preserve">C019</t>
  </si>
  <si>
    <t xml:space="preserve">C020</t>
  </si>
  <si>
    <t xml:space="preserve">C021</t>
  </si>
  <si>
    <t xml:space="preserve">C022</t>
  </si>
  <si>
    <t xml:space="preserve">C023</t>
  </si>
  <si>
    <t xml:space="preserve">C024</t>
  </si>
  <si>
    <t xml:space="preserve">C025</t>
  </si>
  <si>
    <t xml:space="preserve">C026</t>
  </si>
  <si>
    <t xml:space="preserve">C027</t>
  </si>
  <si>
    <t xml:space="preserve">C028</t>
  </si>
  <si>
    <t xml:space="preserve">C029</t>
  </si>
  <si>
    <t xml:space="preserve">C030</t>
  </si>
  <si>
    <t xml:space="preserve">C031</t>
  </si>
  <si>
    <t xml:space="preserve">C032</t>
  </si>
  <si>
    <t xml:space="preserve">C033</t>
  </si>
  <si>
    <t xml:space="preserve">C034</t>
  </si>
  <si>
    <t xml:space="preserve">C035</t>
  </si>
  <si>
    <t xml:space="preserve">C036</t>
  </si>
  <si>
    <t xml:space="preserve">C037</t>
  </si>
  <si>
    <t xml:space="preserve">C038</t>
  </si>
  <si>
    <t xml:space="preserve">C039</t>
  </si>
  <si>
    <t xml:space="preserve">C040</t>
  </si>
  <si>
    <t xml:space="preserve">C041</t>
  </si>
  <si>
    <t xml:space="preserve">C042</t>
  </si>
  <si>
    <t xml:space="preserve">C043</t>
  </si>
  <si>
    <t xml:space="preserve">C044</t>
  </si>
  <si>
    <t xml:space="preserve">C045</t>
  </si>
  <si>
    <t xml:space="preserve">C046</t>
  </si>
  <si>
    <t xml:space="preserve">C047</t>
  </si>
  <si>
    <t xml:space="preserve">C048</t>
  </si>
  <si>
    <t xml:space="preserve">C049</t>
  </si>
  <si>
    <t xml:space="preserve">C050</t>
  </si>
  <si>
    <t xml:space="preserve">Scene</t>
  </si>
  <si>
    <t xml:space="preserve">Main_Action</t>
  </si>
  <si>
    <t xml:space="preserve">Objects (max 5)</t>
  </si>
  <si>
    <t xml:space="preserve">Audio_Event(s)</t>
  </si>
  <si>
    <t xml:space="preserve">Safety_Flag</t>
  </si>
  <si>
    <t xml:space="preserve">Confidence</t>
  </si>
  <si>
    <t xml:space="preserve">Notes</t>
  </si>
  <si>
    <t xml:space="preserve">indoor_home</t>
  </si>
  <si>
    <t xml:space="preserve">cooking</t>
  </si>
  <si>
    <t xml:space="preserve">knife, cutting_board, pot</t>
  </si>
  <si>
    <t xml:space="preserve">music</t>
  </si>
  <si>
    <t xml:space="preserve">safe</t>
  </si>
  <si>
    <t xml:space="preserve">High</t>
  </si>
  <si>
    <t xml:space="preserve">EXAMPLE row - overwrite</t>
  </si>
  <si>
    <t xml:space="preserve">AI tool used</t>
  </si>
  <si>
    <t xml:space="preserve">AI caption (paste)</t>
  </si>
  <si>
    <t xml:space="preserve">Accuracy 1-5</t>
  </si>
  <si>
    <t xml:space="preserve">Missed object/action?</t>
  </si>
  <si>
    <t xml:space="preserve">Hallucinated detail?</t>
  </si>
  <si>
    <t xml:space="preserve">Wrong scene/audio?</t>
  </si>
  <si>
    <t xml:space="preserve">Safety missed?</t>
  </si>
  <si>
    <t xml:space="preserve">Error note / ambiguity</t>
  </si>
  <si>
    <t xml:space="preserve">EXAMPLE tool</t>
  </si>
  <si>
    <t xml:space="preserve">A man is cooking pasta in a kitchen.</t>
  </si>
  <si>
    <t xml:space="preserve">Y</t>
  </si>
  <si>
    <t xml:space="preserve">N</t>
  </si>
  <si>
    <t xml:space="preserve">Said pasta; clip shows vegetables. Missed music.</t>
  </si>
  <si>
    <t xml:space="preserve">R1 Scene</t>
  </si>
  <si>
    <t xml:space="preserve">R1 Action</t>
  </si>
  <si>
    <t xml:space="preserve">R1 Safety</t>
  </si>
  <si>
    <t xml:space="preserve">R1 Confidence</t>
  </si>
  <si>
    <t xml:space="preserve">R2 Scene (day 3+)</t>
  </si>
  <si>
    <t xml:space="preserve">R2 Action</t>
  </si>
  <si>
    <t xml:space="preserve">R2 Safety</t>
  </si>
  <si>
    <t xml:space="preserve">R2 Confidence</t>
  </si>
  <si>
    <t xml:space="preserve">Scene match</t>
  </si>
  <si>
    <t xml:space="preserve">Action match</t>
  </si>
  <si>
    <t xml:space="preserve">Safety match</t>
  </si>
  <si>
    <t xml:space="preserve">Conf match</t>
  </si>
  <si>
    <t xml:space="preserve">All 3 core match</t>
  </si>
  <si>
    <t xml:space="preserve">Reason for disagreement</t>
  </si>
  <si>
    <t xml:space="preserve">Metric</t>
  </si>
  <si>
    <t xml:space="preserve">Value</t>
  </si>
  <si>
    <t xml:space="preserve">Note</t>
  </si>
  <si>
    <t xml:space="preserve">Clips with a title</t>
  </si>
  <si>
    <t xml:space="preserve">Rows with a title in Clips</t>
  </si>
  <si>
    <t xml:space="preserve">Clips labeled (Scene filled)</t>
  </si>
  <si>
    <t xml:space="preserve">Safe clips</t>
  </si>
  <si>
    <t xml:space="preserve">Unsafe clips</t>
  </si>
  <si>
    <t xml:space="preserve">Needs_review clips</t>
  </si>
  <si>
    <t xml:space="preserve">Low-confidence labels</t>
  </si>
  <si>
    <t xml:space="preserve">Captions rated</t>
  </si>
  <si>
    <t xml:space="preserve">Mean caption accuracy (1-5)</t>
  </si>
  <si>
    <t xml:space="preserve">Captions with hallucinated detail</t>
  </si>
  <si>
    <t xml:space="preserve">Captions that missed object/action</t>
  </si>
  <si>
    <t xml:space="preserve">Captions with wrong scene/audio</t>
  </si>
  <si>
    <t xml:space="preserve">Captions that missed a safety issue</t>
  </si>
  <si>
    <t xml:space="preserve">Re-labeled clips completed</t>
  </si>
  <si>
    <t xml:space="preserve">Target: 20</t>
  </si>
  <si>
    <t xml:space="preserve">Scene agreement</t>
  </si>
  <si>
    <t xml:space="preserve">Exact-match rate</t>
  </si>
  <si>
    <t xml:space="preserve">Action agreement</t>
  </si>
  <si>
    <t xml:space="preserve">Safety agreement</t>
  </si>
  <si>
    <t xml:space="preserve">Confidence agreement</t>
  </si>
  <si>
    <t xml:space="preserve">Overall agreement (scene+action+safety)</t>
  </si>
  <si>
    <t xml:space="preserve">Headline consistency number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</si>
</sst>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customFormat="false" ht="15" hidden="false" customHeight="false" outlineLevel="0" collapsed="false">
      <c r="A2" s="2" t="s">
        <v>14</v>
      </c>
      <c r="B2" s="4" t="s">
        <v>15</v>
      </c>
      <c r="C2" s="4" t="s">
        <v>16</v>
      </c>
      <c r="D2" s="4" t="s">
        <v>17</v>
      </c>
      <c r="E2" s="4" t="n">
        <v>10</v>
      </c>
    </row>
    <row r="3" customFormat="false" ht="15" hidden="false" customHeight="false" outlineLevel="0" collapsed="false">
      <c r="A3" s="2" t="s">
        <v>18</v>
      </c>
      <c r="B3" s="5"/>
      <c r="C3" s="5"/>
      <c r="D3" s="5"/>
      <c r="E3" s="5"/>
    </row>
    <row r="4" customFormat="false" ht="15" hidden="false" customHeight="false" outlineLevel="0" collapsed="false">
      <c r="A4" s="2" t="s">
        <v>19</v>
      </c>
      <c r="B4" s="5"/>
      <c r="C4" s="5"/>
      <c r="D4" s="5"/>
      <c r="E4" s="5"/>
    </row>
    <row r="5" customFormat="false" ht="15" hidden="false" customHeight="false" outlineLevel="0" collapsed="false">
      <c r="A5" s="2" t="s">
        <v>20</v>
      </c>
      <c r="B5" s="5"/>
      <c r="C5" s="5"/>
      <c r="D5" s="5"/>
      <c r="E5" s="5"/>
    </row>
    <row r="6" customFormat="false" ht="15" hidden="false" customHeight="false" outlineLevel="0" collapsed="false">
      <c r="A6" s="2" t="s">
        <v>21</v>
      </c>
      <c r="B6" s="5"/>
      <c r="C6" s="5"/>
      <c r="D6" s="5"/>
      <c r="E6" s="5"/>
    </row>
    <row r="7" customFormat="false" ht="15" hidden="false" customHeight="false" outlineLevel="0" collapsed="false">
      <c r="A7" s="2" t="s">
        <v>22</v>
      </c>
      <c r="B7" s="5"/>
      <c r="C7" s="5"/>
      <c r="D7" s="5"/>
      <c r="E7" s="5"/>
    </row>
    <row r="8" customFormat="false" ht="15" hidden="false" customHeight="false" outlineLevel="0" collapsed="false">
      <c r="A8" s="2" t="s">
        <v>23</v>
      </c>
      <c r="B8" s="5"/>
      <c r="C8" s="5"/>
      <c r="D8" s="5"/>
      <c r="E8" s="5"/>
    </row>
    <row r="9" customFormat="false" ht="15" hidden="false" customHeight="false" outlineLevel="0" collapsed="false">
      <c r="A9" s="2" t="s">
        <v>24</v>
      </c>
      <c r="B9" s="5"/>
      <c r="C9" s="5"/>
      <c r="D9" s="5"/>
      <c r="E9" s="5"/>
    </row>
    <row r="10" customFormat="false" ht="15" hidden="false" customHeight="false" outlineLevel="0" collapsed="false">
      <c r="A10" s="2" t="s">
        <v>25</v>
      </c>
      <c r="B10" s="5"/>
      <c r="C10" s="5"/>
      <c r="D10" s="5"/>
      <c r="E10" s="5"/>
    </row>
    <row r="11" customFormat="false" ht="15" hidden="false" customHeight="false" outlineLevel="0" collapsed="false">
      <c r="A11" s="2" t="s">
        <v>26</v>
      </c>
      <c r="B11" s="5"/>
      <c r="C11" s="5"/>
      <c r="D11" s="5"/>
      <c r="E11" s="5"/>
    </row>
    <row r="12" customFormat="false" ht="15" hidden="false" customHeight="false" outlineLevel="0" collapsed="false">
      <c r="A12" s="2" t="s">
        <v>27</v>
      </c>
      <c r="B12" s="5"/>
      <c r="C12" s="5"/>
      <c r="D12" s="5"/>
      <c r="E12" s="5"/>
    </row>
    <row r="13" customFormat="false" ht="15" hidden="false" customHeight="false" outlineLevel="0" collapsed="false">
      <c r="A13" s="2" t="s">
        <v>28</v>
      </c>
      <c r="B13" s="5"/>
      <c r="C13" s="5"/>
      <c r="D13" s="5"/>
      <c r="E13" s="5"/>
    </row>
    <row r="14" customFormat="false" ht="15" hidden="false" customHeight="false" outlineLevel="0" collapsed="false">
      <c r="A14" s="2" t="s">
        <v>29</v>
      </c>
      <c r="B14" s="5"/>
      <c r="C14" s="5"/>
      <c r="D14" s="5"/>
      <c r="E14" s="5"/>
    </row>
    <row r="15" customFormat="false" ht="15" hidden="false" customHeight="false" outlineLevel="0" collapsed="false">
      <c r="A15" s="2" t="s">
        <v>30</v>
      </c>
      <c r="B15" s="5"/>
      <c r="C15" s="5"/>
      <c r="D15" s="5"/>
      <c r="E15" s="5"/>
    </row>
    <row r="16" customFormat="false" ht="15" hidden="false" customHeight="false" outlineLevel="0" collapsed="false">
      <c r="A16" s="2" t="s">
        <v>31</v>
      </c>
      <c r="B16" s="5"/>
      <c r="C16" s="5"/>
      <c r="D16" s="5"/>
      <c r="E16" s="5"/>
    </row>
    <row r="17" customFormat="false" ht="15" hidden="false" customHeight="false" outlineLevel="0" collapsed="false">
      <c r="A17" s="2" t="s">
        <v>32</v>
      </c>
      <c r="B17" s="5"/>
      <c r="C17" s="5"/>
      <c r="D17" s="5"/>
      <c r="E17" s="5"/>
    </row>
    <row r="18" customFormat="false" ht="15" hidden="false" customHeight="false" outlineLevel="0" collapsed="false">
      <c r="A18" s="2" t="s">
        <v>33</v>
      </c>
      <c r="B18" s="5"/>
      <c r="C18" s="5"/>
      <c r="D18" s="5"/>
      <c r="E18" s="5"/>
    </row>
    <row r="19" customFormat="false" ht="15" hidden="false" customHeight="false" outlineLevel="0" collapsed="false">
      <c r="A19" s="2" t="s">
        <v>34</v>
      </c>
      <c r="B19" s="5"/>
      <c r="C19" s="5"/>
      <c r="D19" s="5"/>
      <c r="E19" s="5"/>
    </row>
    <row r="20" customFormat="false" ht="15" hidden="false" customHeight="false" outlineLevel="0" collapsed="false">
      <c r="A20" s="2" t="s">
        <v>35</v>
      </c>
      <c r="B20" s="5"/>
      <c r="C20" s="5"/>
      <c r="D20" s="5"/>
      <c r="E20" s="5"/>
    </row>
    <row r="21" customFormat="false" ht="15" hidden="false" customHeight="false" outlineLevel="0" collapsed="false">
      <c r="A21" s="2" t="s">
        <v>36</v>
      </c>
      <c r="B21" s="5"/>
      <c r="C21" s="5"/>
      <c r="D21" s="5"/>
      <c r="E21" s="5"/>
    </row>
    <row r="22" customFormat="false" ht="15" hidden="false" customHeight="false" outlineLevel="0" collapsed="false">
      <c r="A22" s="2" t="s">
        <v>37</v>
      </c>
      <c r="B22" s="5"/>
      <c r="C22" s="5"/>
      <c r="D22" s="5"/>
      <c r="E22" s="5"/>
    </row>
    <row r="23" customFormat="false" ht="15" hidden="false" customHeight="false" outlineLevel="0" collapsed="false">
      <c r="A23" s="2" t="s">
        <v>38</v>
      </c>
      <c r="B23" s="5"/>
      <c r="C23" s="5"/>
      <c r="D23" s="5"/>
      <c r="E23" s="5"/>
    </row>
    <row r="24" customFormat="false" ht="15" hidden="false" customHeight="false" outlineLevel="0" collapsed="false">
      <c r="A24" s="2" t="s">
        <v>39</v>
      </c>
      <c r="B24" s="5"/>
      <c r="C24" s="5"/>
      <c r="D24" s="5"/>
      <c r="E24" s="5"/>
    </row>
    <row r="25" customFormat="false" ht="15" hidden="false" customHeight="false" outlineLevel="0" collapsed="false">
      <c r="A25" s="2" t="s">
        <v>40</v>
      </c>
      <c r="B25" s="5"/>
      <c r="C25" s="5"/>
      <c r="D25" s="5"/>
      <c r="E25" s="5"/>
    </row>
    <row r="26" customFormat="false" ht="15" hidden="false" customHeight="false" outlineLevel="0" collapsed="false">
      <c r="A26" s="2" t="s">
        <v>41</v>
      </c>
      <c r="B26" s="5"/>
      <c r="C26" s="5"/>
      <c r="D26" s="5"/>
      <c r="E26" s="5"/>
    </row>
    <row r="27" customFormat="false" ht="15" hidden="false" customHeight="false" outlineLevel="0" collapsed="false">
      <c r="A27" s="2" t="s">
        <v>42</v>
      </c>
      <c r="B27" s="5"/>
      <c r="C27" s="5"/>
      <c r="D27" s="5"/>
      <c r="E27" s="5"/>
    </row>
    <row r="28" customFormat="false" ht="15" hidden="false" customHeight="false" outlineLevel="0" collapsed="false">
      <c r="A28" s="2" t="s">
        <v>43</v>
      </c>
      <c r="B28" s="5"/>
      <c r="C28" s="5"/>
      <c r="D28" s="5"/>
      <c r="E28" s="5"/>
    </row>
    <row r="29" customFormat="false" ht="15" hidden="false" customHeight="false" outlineLevel="0" collapsed="false">
      <c r="A29" s="2" t="s">
        <v>44</v>
      </c>
      <c r="B29" s="5"/>
      <c r="C29" s="5"/>
      <c r="D29" s="5"/>
      <c r="E29" s="5"/>
    </row>
    <row r="30" customFormat="false" ht="15" hidden="false" customHeight="false" outlineLevel="0" collapsed="false">
      <c r="A30" s="2" t="s">
        <v>45</v>
      </c>
      <c r="B30" s="5"/>
      <c r="C30" s="5"/>
      <c r="D30" s="5"/>
      <c r="E30" s="5"/>
    </row>
    <row r="31" customFormat="false" ht="15" hidden="false" customHeight="false" outlineLevel="0" collapsed="false">
      <c r="A31" s="2" t="s">
        <v>46</v>
      </c>
      <c r="B31" s="5"/>
      <c r="C31" s="5"/>
      <c r="D31" s="5"/>
      <c r="E31" s="5"/>
    </row>
    <row r="32" customFormat="false" ht="15" hidden="false" customHeight="false" outlineLevel="0" collapsed="false">
      <c r="A32" s="2" t="s">
        <v>47</v>
      </c>
      <c r="B32" s="5"/>
      <c r="C32" s="5"/>
      <c r="D32" s="5"/>
      <c r="E32" s="5"/>
    </row>
    <row r="33" customFormat="false" ht="15" hidden="false" customHeight="false" outlineLevel="0" collapsed="false">
      <c r="A33" s="2" t="s">
        <v>48</v>
      </c>
      <c r="B33" s="5"/>
      <c r="C33" s="5"/>
      <c r="D33" s="5"/>
      <c r="E33" s="5"/>
    </row>
    <row r="34" customFormat="false" ht="15" hidden="false" customHeight="false" outlineLevel="0" collapsed="false">
      <c r="A34" s="2" t="s">
        <v>49</v>
      </c>
      <c r="B34" s="5"/>
      <c r="C34" s="5"/>
      <c r="D34" s="5"/>
      <c r="E34" s="5"/>
    </row>
    <row r="35" customFormat="false" ht="15" hidden="false" customHeight="false" outlineLevel="0" collapsed="false">
      <c r="A35" s="2" t="s">
        <v>50</v>
      </c>
      <c r="B35" s="5"/>
      <c r="C35" s="5"/>
      <c r="D35" s="5"/>
      <c r="E35" s="5"/>
    </row>
    <row r="36" customFormat="false" ht="15" hidden="false" customHeight="false" outlineLevel="0" collapsed="false">
      <c r="A36" s="2" t="s">
        <v>51</v>
      </c>
      <c r="B36" s="5"/>
      <c r="C36" s="5"/>
      <c r="D36" s="5"/>
      <c r="E36" s="5"/>
    </row>
    <row r="37" customFormat="false" ht="15" hidden="false" customHeight="false" outlineLevel="0" collapsed="false">
      <c r="A37" s="2" t="s">
        <v>52</v>
      </c>
      <c r="B37" s="5"/>
      <c r="C37" s="5"/>
      <c r="D37" s="5"/>
      <c r="E37" s="5"/>
    </row>
    <row r="38" customFormat="false" ht="15" hidden="false" customHeight="false" outlineLevel="0" collapsed="false">
      <c r="A38" s="2" t="s">
        <v>53</v>
      </c>
      <c r="B38" s="5"/>
      <c r="C38" s="5"/>
      <c r="D38" s="5"/>
      <c r="E38" s="5"/>
    </row>
    <row r="39" customFormat="false" ht="15" hidden="false" customHeight="false" outlineLevel="0" collapsed="false">
      <c r="A39" s="2" t="s">
        <v>54</v>
      </c>
      <c r="B39" s="5"/>
      <c r="C39" s="5"/>
      <c r="D39" s="5"/>
      <c r="E39" s="5"/>
    </row>
    <row r="40" customFormat="false" ht="15" hidden="false" customHeight="false" outlineLevel="0" collapsed="false">
      <c r="A40" s="2" t="s">
        <v>55</v>
      </c>
      <c r="B40" s="5"/>
      <c r="C40" s="5"/>
      <c r="D40" s="5"/>
      <c r="E40" s="5"/>
    </row>
    <row r="41" customFormat="false" ht="15" hidden="false" customHeight="false" outlineLevel="0" collapsed="false">
      <c r="A41" s="2" t="s">
        <v>56</v>
      </c>
      <c r="B41" s="5"/>
      <c r="C41" s="5"/>
      <c r="D41" s="5"/>
      <c r="E41" s="5"/>
    </row>
    <row r="42" customFormat="false" ht="15" hidden="false" customHeight="false" outlineLevel="0" collapsed="false">
      <c r="A42" s="2" t="s">
        <v>57</v>
      </c>
      <c r="B42" s="5"/>
      <c r="C42" s="5"/>
      <c r="D42" s="5"/>
      <c r="E42" s="5"/>
    </row>
    <row r="43" customFormat="false" ht="15" hidden="false" customHeight="false" outlineLevel="0" collapsed="false">
      <c r="A43" s="2" t="s">
        <v>58</v>
      </c>
      <c r="B43" s="5"/>
      <c r="C43" s="5"/>
      <c r="D43" s="5"/>
      <c r="E43" s="5"/>
    </row>
    <row r="44" customFormat="false" ht="15" hidden="false" customHeight="false" outlineLevel="0" collapsed="false">
      <c r="A44" s="2" t="s">
        <v>59</v>
      </c>
      <c r="B44" s="5"/>
      <c r="C44" s="5"/>
      <c r="D44" s="5"/>
      <c r="E44" s="5"/>
    </row>
    <row r="45" customFormat="false" ht="15" hidden="false" customHeight="false" outlineLevel="0" collapsed="false">
      <c r="A45" s="2" t="s">
        <v>60</v>
      </c>
      <c r="B45" s="5"/>
      <c r="C45" s="5"/>
      <c r="D45" s="5"/>
      <c r="E45" s="5"/>
    </row>
    <row r="46" customFormat="false" ht="15" hidden="false" customHeight="false" outlineLevel="0" collapsed="false">
      <c r="A46" s="2" t="s">
        <v>61</v>
      </c>
      <c r="B46" s="5"/>
      <c r="C46" s="5"/>
      <c r="D46" s="5"/>
      <c r="E46" s="5"/>
    </row>
    <row r="47" customFormat="false" ht="15" hidden="false" customHeight="false" outlineLevel="0" collapsed="false">
      <c r="A47" s="2" t="s">
        <v>62</v>
      </c>
      <c r="B47" s="5"/>
      <c r="C47" s="5"/>
      <c r="D47" s="5"/>
      <c r="E47" s="5"/>
    </row>
    <row r="48" customFormat="false" ht="15" hidden="false" customHeight="false" outlineLevel="0" collapsed="false">
      <c r="A48" s="2" t="s">
        <v>63</v>
      </c>
      <c r="B48" s="5"/>
      <c r="C48" s="5"/>
      <c r="D48" s="5"/>
      <c r="E48" s="5"/>
    </row>
    <row r="49" customFormat="false" ht="15" hidden="false" customHeight="false" outlineLevel="0" collapsed="false">
      <c r="A49" s="2" t="s">
        <v>64</v>
      </c>
      <c r="B49" s="5"/>
      <c r="C49" s="5"/>
      <c r="D49" s="5"/>
      <c r="E49" s="5"/>
    </row>
    <row r="50" customFormat="false" ht="15" hidden="false" customHeight="false" outlineLevel="0" collapsed="false">
      <c r="A50" s="2" t="s">
        <v>65</v>
      </c>
      <c r="B50" s="5"/>
      <c r="C50" s="5"/>
      <c r="D50" s="5"/>
      <c r="E50" s="5"/>
    </row>
    <row r="51" customFormat="false" ht="15" hidden="false" customHeight="false" outlineLevel="0" collapsed="false">
      <c r="A51" s="2" t="s">
        <v>66</v>
      </c>
      <c r="B51" s="5"/>
      <c r="C51" s="5"/>
      <c r="D51" s="5"/>
      <c r="E5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35"/>
    <col collapsed="false" customWidth="true" hidden="false" outlineLevel="0" max="5" min="5" style="0" width="2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45"/>
  </cols>
  <sheetData>
    <row r="1" customFormat="false" ht="15" hidden="false" customHeight="false" outlineLevel="0" collapsed="false">
      <c r="A1" s="3" t="s">
        <v>9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</row>
    <row r="2" customFormat="false" ht="15" hidden="false" customHeight="false" outlineLevel="0" collapsed="false">
      <c r="A2" s="2" t="str">
        <f aca="false">Clips!A2</f>
        <v>C001</v>
      </c>
      <c r="B2" s="4" t="s">
        <v>74</v>
      </c>
      <c r="C2" s="4" t="s">
        <v>75</v>
      </c>
      <c r="D2" s="4" t="s">
        <v>76</v>
      </c>
      <c r="E2" s="4" t="s">
        <v>77</v>
      </c>
      <c r="F2" s="4" t="s">
        <v>78</v>
      </c>
      <c r="G2" s="4" t="s">
        <v>79</v>
      </c>
      <c r="H2" s="4" t="s">
        <v>80</v>
      </c>
    </row>
    <row r="3" customFormat="false" ht="15" hidden="false" customHeight="false" outlineLevel="0" collapsed="false">
      <c r="A3" s="2" t="str">
        <f aca="false">Clips!A3</f>
        <v>C002</v>
      </c>
      <c r="B3" s="5"/>
      <c r="C3" s="5"/>
      <c r="D3" s="5"/>
      <c r="E3" s="5"/>
      <c r="F3" s="5"/>
      <c r="G3" s="5"/>
      <c r="H3" s="5"/>
    </row>
    <row r="4" customFormat="false" ht="15" hidden="false" customHeight="false" outlineLevel="0" collapsed="false">
      <c r="A4" s="2" t="str">
        <f aca="false">Clips!A4</f>
        <v>C003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2" t="str">
        <f aca="false">Clips!A5</f>
        <v>C004</v>
      </c>
      <c r="B5" s="5"/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A6" s="2" t="str">
        <f aca="false">Clips!A6</f>
        <v>C005</v>
      </c>
      <c r="B6" s="5"/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A7" s="2" t="str">
        <f aca="false">Clips!A7</f>
        <v>C006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 t="str">
        <f aca="false">Clips!A8</f>
        <v>C007</v>
      </c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2" t="str">
        <f aca="false">Clips!A9</f>
        <v>C008</v>
      </c>
      <c r="B9" s="5"/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2" t="str">
        <f aca="false">Clips!A10</f>
        <v>C009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2" t="str">
        <f aca="false">Clips!A11</f>
        <v>C010</v>
      </c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2" t="str">
        <f aca="false">Clips!A12</f>
        <v>C011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2" t="str">
        <f aca="false">Clips!A13</f>
        <v>C012</v>
      </c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2" t="str">
        <f aca="false">Clips!A14</f>
        <v>C013</v>
      </c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2" t="str">
        <f aca="false">Clips!A15</f>
        <v>C014</v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2" t="str">
        <f aca="false">Clips!A16</f>
        <v>C015</v>
      </c>
      <c r="B16" s="5"/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2" t="str">
        <f aca="false">Clips!A17</f>
        <v>C016</v>
      </c>
      <c r="B17" s="5"/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2" t="str">
        <f aca="false">Clips!A18</f>
        <v>C017</v>
      </c>
      <c r="B18" s="5"/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A19" s="2" t="str">
        <f aca="false">Clips!A19</f>
        <v>C018</v>
      </c>
      <c r="B19" s="5"/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2" t="str">
        <f aca="false">Clips!A20</f>
        <v>C019</v>
      </c>
      <c r="B20" s="5"/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A21" s="2" t="str">
        <f aca="false">Clips!A21</f>
        <v>C020</v>
      </c>
      <c r="B21" s="5"/>
      <c r="C21" s="5"/>
      <c r="D21" s="5"/>
      <c r="E21" s="5"/>
      <c r="F21" s="5"/>
      <c r="G21" s="5"/>
      <c r="H21" s="5"/>
    </row>
    <row r="22" customFormat="false" ht="15" hidden="false" customHeight="false" outlineLevel="0" collapsed="false">
      <c r="A22" s="2" t="str">
        <f aca="false">Clips!A22</f>
        <v>C021</v>
      </c>
      <c r="B22" s="5"/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A23" s="2" t="str">
        <f aca="false">Clips!A23</f>
        <v>C022</v>
      </c>
      <c r="B23" s="5"/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A24" s="2" t="str">
        <f aca="false">Clips!A24</f>
        <v>C023</v>
      </c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2" t="str">
        <f aca="false">Clips!A25</f>
        <v>C024</v>
      </c>
      <c r="B25" s="5"/>
      <c r="C25" s="5"/>
      <c r="D25" s="5"/>
      <c r="E25" s="5"/>
      <c r="F25" s="5"/>
      <c r="G25" s="5"/>
      <c r="H25" s="5"/>
    </row>
    <row r="26" customFormat="false" ht="15" hidden="false" customHeight="false" outlineLevel="0" collapsed="false">
      <c r="A26" s="2" t="str">
        <f aca="false">Clips!A26</f>
        <v>C025</v>
      </c>
      <c r="B26" s="5"/>
      <c r="C26" s="5"/>
      <c r="D26" s="5"/>
      <c r="E26" s="5"/>
      <c r="F26" s="5"/>
      <c r="G26" s="5"/>
      <c r="H26" s="5"/>
    </row>
    <row r="27" customFormat="false" ht="15" hidden="false" customHeight="false" outlineLevel="0" collapsed="false">
      <c r="A27" s="2" t="str">
        <f aca="false">Clips!A27</f>
        <v>C026</v>
      </c>
      <c r="B27" s="5"/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A28" s="2" t="str">
        <f aca="false">Clips!A28</f>
        <v>C027</v>
      </c>
      <c r="B28" s="5"/>
      <c r="C28" s="5"/>
      <c r="D28" s="5"/>
      <c r="E28" s="5"/>
      <c r="F28" s="5"/>
      <c r="G28" s="5"/>
      <c r="H28" s="5"/>
    </row>
    <row r="29" customFormat="false" ht="15" hidden="false" customHeight="false" outlineLevel="0" collapsed="false">
      <c r="A29" s="2" t="str">
        <f aca="false">Clips!A29</f>
        <v>C028</v>
      </c>
      <c r="B29" s="5"/>
      <c r="C29" s="5"/>
      <c r="D29" s="5"/>
      <c r="E29" s="5"/>
      <c r="F29" s="5"/>
      <c r="G29" s="5"/>
      <c r="H29" s="5"/>
    </row>
    <row r="30" customFormat="false" ht="15" hidden="false" customHeight="false" outlineLevel="0" collapsed="false">
      <c r="A30" s="2" t="str">
        <f aca="false">Clips!A30</f>
        <v>C029</v>
      </c>
      <c r="B30" s="5"/>
      <c r="C30" s="5"/>
      <c r="D30" s="5"/>
      <c r="E30" s="5"/>
      <c r="F30" s="5"/>
      <c r="G30" s="5"/>
      <c r="H30" s="5"/>
    </row>
    <row r="31" customFormat="false" ht="15" hidden="false" customHeight="false" outlineLevel="0" collapsed="false">
      <c r="A31" s="2" t="str">
        <f aca="false">Clips!A31</f>
        <v>C030</v>
      </c>
      <c r="B31" s="5"/>
      <c r="C31" s="5"/>
      <c r="D31" s="5"/>
      <c r="E31" s="5"/>
      <c r="F31" s="5"/>
      <c r="G31" s="5"/>
      <c r="H31" s="5"/>
    </row>
    <row r="32" customFormat="false" ht="15" hidden="false" customHeight="false" outlineLevel="0" collapsed="false">
      <c r="A32" s="2" t="str">
        <f aca="false">Clips!A32</f>
        <v>C031</v>
      </c>
      <c r="B32" s="5"/>
      <c r="C32" s="5"/>
      <c r="D32" s="5"/>
      <c r="E32" s="5"/>
      <c r="F32" s="5"/>
      <c r="G32" s="5"/>
      <c r="H32" s="5"/>
    </row>
    <row r="33" customFormat="false" ht="15" hidden="false" customHeight="false" outlineLevel="0" collapsed="false">
      <c r="A33" s="2" t="str">
        <f aca="false">Clips!A33</f>
        <v>C032</v>
      </c>
      <c r="B33" s="5"/>
      <c r="C33" s="5"/>
      <c r="D33" s="5"/>
      <c r="E33" s="5"/>
      <c r="F33" s="5"/>
      <c r="G33" s="5"/>
      <c r="H33" s="5"/>
    </row>
    <row r="34" customFormat="false" ht="15" hidden="false" customHeight="false" outlineLevel="0" collapsed="false">
      <c r="A34" s="2" t="str">
        <f aca="false">Clips!A34</f>
        <v>C033</v>
      </c>
      <c r="B34" s="5"/>
      <c r="C34" s="5"/>
      <c r="D34" s="5"/>
      <c r="E34" s="5"/>
      <c r="F34" s="5"/>
      <c r="G34" s="5"/>
      <c r="H34" s="5"/>
    </row>
    <row r="35" customFormat="false" ht="15" hidden="false" customHeight="false" outlineLevel="0" collapsed="false">
      <c r="A35" s="2" t="str">
        <f aca="false">Clips!A35</f>
        <v>C034</v>
      </c>
      <c r="B35" s="5"/>
      <c r="C35" s="5"/>
      <c r="D35" s="5"/>
      <c r="E35" s="5"/>
      <c r="F35" s="5"/>
      <c r="G35" s="5"/>
      <c r="H35" s="5"/>
    </row>
    <row r="36" customFormat="false" ht="15" hidden="false" customHeight="false" outlineLevel="0" collapsed="false">
      <c r="A36" s="2" t="str">
        <f aca="false">Clips!A36</f>
        <v>C035</v>
      </c>
      <c r="B36" s="5"/>
      <c r="C36" s="5"/>
      <c r="D36" s="5"/>
      <c r="E36" s="5"/>
      <c r="F36" s="5"/>
      <c r="G36" s="5"/>
      <c r="H36" s="5"/>
    </row>
    <row r="37" customFormat="false" ht="15" hidden="false" customHeight="false" outlineLevel="0" collapsed="false">
      <c r="A37" s="2" t="str">
        <f aca="false">Clips!A37</f>
        <v>C036</v>
      </c>
      <c r="B37" s="5"/>
      <c r="C37" s="5"/>
      <c r="D37" s="5"/>
      <c r="E37" s="5"/>
      <c r="F37" s="5"/>
      <c r="G37" s="5"/>
      <c r="H37" s="5"/>
    </row>
    <row r="38" customFormat="false" ht="15" hidden="false" customHeight="false" outlineLevel="0" collapsed="false">
      <c r="A38" s="2" t="str">
        <f aca="false">Clips!A38</f>
        <v>C037</v>
      </c>
      <c r="B38" s="5"/>
      <c r="C38" s="5"/>
      <c r="D38" s="5"/>
      <c r="E38" s="5"/>
      <c r="F38" s="5"/>
      <c r="G38" s="5"/>
      <c r="H38" s="5"/>
    </row>
    <row r="39" customFormat="false" ht="15" hidden="false" customHeight="false" outlineLevel="0" collapsed="false">
      <c r="A39" s="2" t="str">
        <f aca="false">Clips!A39</f>
        <v>C038</v>
      </c>
      <c r="B39" s="5"/>
      <c r="C39" s="5"/>
      <c r="D39" s="5"/>
      <c r="E39" s="5"/>
      <c r="F39" s="5"/>
      <c r="G39" s="5"/>
      <c r="H39" s="5"/>
    </row>
    <row r="40" customFormat="false" ht="15" hidden="false" customHeight="false" outlineLevel="0" collapsed="false">
      <c r="A40" s="2" t="str">
        <f aca="false">Clips!A40</f>
        <v>C039</v>
      </c>
      <c r="B40" s="5"/>
      <c r="C40" s="5"/>
      <c r="D40" s="5"/>
      <c r="E40" s="5"/>
      <c r="F40" s="5"/>
      <c r="G40" s="5"/>
      <c r="H40" s="5"/>
    </row>
    <row r="41" customFormat="false" ht="15" hidden="false" customHeight="false" outlineLevel="0" collapsed="false">
      <c r="A41" s="2" t="str">
        <f aca="false">Clips!A41</f>
        <v>C040</v>
      </c>
      <c r="B41" s="5"/>
      <c r="C41" s="5"/>
      <c r="D41" s="5"/>
      <c r="E41" s="5"/>
      <c r="F41" s="5"/>
      <c r="G41" s="5"/>
      <c r="H41" s="5"/>
    </row>
    <row r="42" customFormat="false" ht="15" hidden="false" customHeight="false" outlineLevel="0" collapsed="false">
      <c r="A42" s="2" t="str">
        <f aca="false">Clips!A42</f>
        <v>C041</v>
      </c>
      <c r="B42" s="5"/>
      <c r="C42" s="5"/>
      <c r="D42" s="5"/>
      <c r="E42" s="5"/>
      <c r="F42" s="5"/>
      <c r="G42" s="5"/>
      <c r="H42" s="5"/>
    </row>
    <row r="43" customFormat="false" ht="15" hidden="false" customHeight="false" outlineLevel="0" collapsed="false">
      <c r="A43" s="2" t="str">
        <f aca="false">Clips!A43</f>
        <v>C042</v>
      </c>
      <c r="B43" s="5"/>
      <c r="C43" s="5"/>
      <c r="D43" s="5"/>
      <c r="E43" s="5"/>
      <c r="F43" s="5"/>
      <c r="G43" s="5"/>
      <c r="H43" s="5"/>
    </row>
    <row r="44" customFormat="false" ht="15" hidden="false" customHeight="false" outlineLevel="0" collapsed="false">
      <c r="A44" s="2" t="str">
        <f aca="false">Clips!A44</f>
        <v>C043</v>
      </c>
      <c r="B44" s="5"/>
      <c r="C44" s="5"/>
      <c r="D44" s="5"/>
      <c r="E44" s="5"/>
      <c r="F44" s="5"/>
      <c r="G44" s="5"/>
      <c r="H44" s="5"/>
    </row>
    <row r="45" customFormat="false" ht="15" hidden="false" customHeight="false" outlineLevel="0" collapsed="false">
      <c r="A45" s="2" t="str">
        <f aca="false">Clips!A45</f>
        <v>C044</v>
      </c>
      <c r="B45" s="5"/>
      <c r="C45" s="5"/>
      <c r="D45" s="5"/>
      <c r="E45" s="5"/>
      <c r="F45" s="5"/>
      <c r="G45" s="5"/>
      <c r="H45" s="5"/>
    </row>
    <row r="46" customFormat="false" ht="15" hidden="false" customHeight="false" outlineLevel="0" collapsed="false">
      <c r="A46" s="2" t="str">
        <f aca="false">Clips!A46</f>
        <v>C045</v>
      </c>
      <c r="B46" s="5"/>
      <c r="C46" s="5"/>
      <c r="D46" s="5"/>
      <c r="E46" s="5"/>
      <c r="F46" s="5"/>
      <c r="G46" s="5"/>
      <c r="H46" s="5"/>
    </row>
    <row r="47" customFormat="false" ht="15" hidden="false" customHeight="false" outlineLevel="0" collapsed="false">
      <c r="A47" s="2" t="str">
        <f aca="false">Clips!A47</f>
        <v>C046</v>
      </c>
      <c r="B47" s="5"/>
      <c r="C47" s="5"/>
      <c r="D47" s="5"/>
      <c r="E47" s="5"/>
      <c r="F47" s="5"/>
      <c r="G47" s="5"/>
      <c r="H47" s="5"/>
    </row>
    <row r="48" customFormat="false" ht="15" hidden="false" customHeight="false" outlineLevel="0" collapsed="false">
      <c r="A48" s="2" t="str">
        <f aca="false">Clips!A48</f>
        <v>C047</v>
      </c>
      <c r="B48" s="5"/>
      <c r="C48" s="5"/>
      <c r="D48" s="5"/>
      <c r="E48" s="5"/>
      <c r="F48" s="5"/>
      <c r="G48" s="5"/>
      <c r="H48" s="5"/>
    </row>
    <row r="49" customFormat="false" ht="15" hidden="false" customHeight="false" outlineLevel="0" collapsed="false">
      <c r="A49" s="2" t="str">
        <f aca="false">Clips!A49</f>
        <v>C048</v>
      </c>
      <c r="B49" s="5"/>
      <c r="C49" s="5"/>
      <c r="D49" s="5"/>
      <c r="E49" s="5"/>
      <c r="F49" s="5"/>
      <c r="G49" s="5"/>
      <c r="H49" s="5"/>
    </row>
    <row r="50" customFormat="false" ht="15" hidden="false" customHeight="false" outlineLevel="0" collapsed="false">
      <c r="A50" s="2" t="str">
        <f aca="false">Clips!A50</f>
        <v>C049</v>
      </c>
      <c r="B50" s="5"/>
      <c r="C50" s="5"/>
      <c r="D50" s="5"/>
      <c r="E50" s="5"/>
      <c r="F50" s="5"/>
      <c r="G50" s="5"/>
      <c r="H50" s="5"/>
    </row>
    <row r="51" customFormat="false" ht="15" hidden="false" customHeight="false" outlineLevel="0" collapsed="false">
      <c r="A51" s="2" t="str">
        <f aca="false">Clips!A51</f>
        <v>C050</v>
      </c>
      <c r="B51" s="5"/>
      <c r="C51" s="5"/>
      <c r="D51" s="5"/>
      <c r="E51" s="5"/>
      <c r="F51" s="5"/>
      <c r="G51" s="5"/>
      <c r="H51" s="5"/>
    </row>
  </sheetData>
  <dataValidations count="4">
    <dataValidation allowBlank="true" errorStyle="stop" operator="between" showDropDown="false" showErrorMessage="false" showInputMessage="false" sqref="B2:B51" type="list">
      <formula1>"indoor_home,indoor_public,outdoor_urban,outdoor_nature,vehicle,studio_screen,unclear"</formula1>
      <formula2>0</formula2>
    </dataValidation>
    <dataValidation allowBlank="true" errorStyle="stop" operator="between" showDropDown="false" showErrorMessage="false" showInputMessage="false" sqref="C2:C51" type="list">
      <formula1>"walking,running,cooking,eating,talking,playing_instrument,playing_sport,driving,dancing,working_on_device,cleaning,animal_moving,no_clear_action,other"</formula1>
      <formula2>0</formula2>
    </dataValidation>
    <dataValidation allowBlank="true" errorStyle="stop" operator="between" showDropDown="false" showErrorMessage="false" showInputMessage="false" sqref="F2:F51" type="list">
      <formula1>"safe,unsafe,needs_review"</formula1>
      <formula2>0</formula2>
    </dataValidation>
    <dataValidation allowBlank="true" errorStyle="stop" operator="between" showDropDown="false" showErrorMessage="false" showInputMessage="false" sqref="G2:G5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7" min="5" style="0" width="16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26.85" hidden="false" customHeight="false" outlineLevel="0" collapsed="false">
      <c r="A1" s="3" t="s">
        <v>9</v>
      </c>
      <c r="B1" s="3" t="s">
        <v>81</v>
      </c>
      <c r="C1" s="3" t="s">
        <v>82</v>
      </c>
      <c r="D1" s="3" t="s">
        <v>83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88</v>
      </c>
    </row>
    <row r="2" customFormat="false" ht="15" hidden="false" customHeight="false" outlineLevel="0" collapsed="false">
      <c r="A2" s="2" t="str">
        <f aca="false">Clips!A2</f>
        <v>C001</v>
      </c>
      <c r="B2" s="4" t="s">
        <v>89</v>
      </c>
      <c r="C2" s="6" t="s">
        <v>90</v>
      </c>
      <c r="D2" s="4" t="n">
        <v>3</v>
      </c>
      <c r="E2" s="4" t="s">
        <v>91</v>
      </c>
      <c r="F2" s="4" t="s">
        <v>91</v>
      </c>
      <c r="G2" s="4" t="s">
        <v>92</v>
      </c>
      <c r="H2" s="4" t="s">
        <v>92</v>
      </c>
      <c r="I2" s="4" t="s">
        <v>93</v>
      </c>
    </row>
    <row r="3" customFormat="false" ht="15" hidden="false" customHeight="false" outlineLevel="0" collapsed="false">
      <c r="A3" s="2" t="str">
        <f aca="false">Clips!A3</f>
        <v>C002</v>
      </c>
      <c r="B3" s="5"/>
      <c r="C3" s="7"/>
      <c r="D3" s="5"/>
      <c r="E3" s="5"/>
      <c r="F3" s="5"/>
      <c r="G3" s="5"/>
      <c r="H3" s="5"/>
      <c r="I3" s="5"/>
    </row>
    <row r="4" customFormat="false" ht="15" hidden="false" customHeight="false" outlineLevel="0" collapsed="false">
      <c r="A4" s="2" t="str">
        <f aca="false">Clips!A4</f>
        <v>C003</v>
      </c>
      <c r="B4" s="5"/>
      <c r="C4" s="7"/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2" t="str">
        <f aca="false">Clips!A5</f>
        <v>C004</v>
      </c>
      <c r="B5" s="5"/>
      <c r="C5" s="7"/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2" t="str">
        <f aca="false">Clips!A6</f>
        <v>C005</v>
      </c>
      <c r="B6" s="5"/>
      <c r="C6" s="7"/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2" t="str">
        <f aca="false">Clips!A7</f>
        <v>C006</v>
      </c>
      <c r="B7" s="5"/>
      <c r="C7" s="7"/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2" t="str">
        <f aca="false">Clips!A8</f>
        <v>C007</v>
      </c>
      <c r="B8" s="5"/>
      <c r="C8" s="7"/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2" t="str">
        <f aca="false">Clips!A9</f>
        <v>C008</v>
      </c>
      <c r="B9" s="5"/>
      <c r="C9" s="7"/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A10" s="2" t="str">
        <f aca="false">Clips!A10</f>
        <v>C009</v>
      </c>
      <c r="B10" s="5"/>
      <c r="C10" s="7"/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2" t="str">
        <f aca="false">Clips!A11</f>
        <v>C010</v>
      </c>
      <c r="B11" s="5"/>
      <c r="C11" s="7"/>
      <c r="D11" s="5"/>
      <c r="E11" s="5"/>
      <c r="F11" s="5"/>
      <c r="G11" s="5"/>
      <c r="H11" s="5"/>
      <c r="I11" s="5"/>
    </row>
    <row r="12" customFormat="false" ht="15" hidden="false" customHeight="false" outlineLevel="0" collapsed="false">
      <c r="A12" s="2" t="str">
        <f aca="false">Clips!A12</f>
        <v>C011</v>
      </c>
      <c r="B12" s="5"/>
      <c r="C12" s="7"/>
      <c r="D12" s="5"/>
      <c r="E12" s="5"/>
      <c r="F12" s="5"/>
      <c r="G12" s="5"/>
      <c r="H12" s="5"/>
      <c r="I12" s="5"/>
    </row>
    <row r="13" customFormat="false" ht="15" hidden="false" customHeight="false" outlineLevel="0" collapsed="false">
      <c r="A13" s="2" t="str">
        <f aca="false">Clips!A13</f>
        <v>C012</v>
      </c>
      <c r="B13" s="5"/>
      <c r="C13" s="7"/>
      <c r="D13" s="5"/>
      <c r="E13" s="5"/>
      <c r="F13" s="5"/>
      <c r="G13" s="5"/>
      <c r="H13" s="5"/>
      <c r="I13" s="5"/>
    </row>
    <row r="14" customFormat="false" ht="15" hidden="false" customHeight="false" outlineLevel="0" collapsed="false">
      <c r="A14" s="2" t="str">
        <f aca="false">Clips!A14</f>
        <v>C013</v>
      </c>
      <c r="B14" s="5"/>
      <c r="C14" s="7"/>
      <c r="D14" s="5"/>
      <c r="E14" s="5"/>
      <c r="F14" s="5"/>
      <c r="G14" s="5"/>
      <c r="H14" s="5"/>
      <c r="I14" s="5"/>
    </row>
    <row r="15" customFormat="false" ht="15" hidden="false" customHeight="false" outlineLevel="0" collapsed="false">
      <c r="A15" s="2" t="str">
        <f aca="false">Clips!A15</f>
        <v>C014</v>
      </c>
      <c r="B15" s="5"/>
      <c r="C15" s="7"/>
      <c r="D15" s="5"/>
      <c r="E15" s="5"/>
      <c r="F15" s="5"/>
      <c r="G15" s="5"/>
      <c r="H15" s="5"/>
      <c r="I15" s="5"/>
    </row>
    <row r="16" customFormat="false" ht="15" hidden="false" customHeight="false" outlineLevel="0" collapsed="false">
      <c r="A16" s="2" t="str">
        <f aca="false">Clips!A16</f>
        <v>C015</v>
      </c>
      <c r="B16" s="5"/>
      <c r="C16" s="7"/>
      <c r="D16" s="5"/>
      <c r="E16" s="5"/>
      <c r="F16" s="5"/>
      <c r="G16" s="5"/>
      <c r="H16" s="5"/>
      <c r="I16" s="5"/>
    </row>
    <row r="17" customFormat="false" ht="15" hidden="false" customHeight="false" outlineLevel="0" collapsed="false">
      <c r="A17" s="2" t="str">
        <f aca="false">Clips!A17</f>
        <v>C016</v>
      </c>
      <c r="B17" s="5"/>
      <c r="C17" s="7"/>
      <c r="D17" s="5"/>
      <c r="E17" s="5"/>
      <c r="F17" s="5"/>
      <c r="G17" s="5"/>
      <c r="H17" s="5"/>
      <c r="I17" s="5"/>
    </row>
    <row r="18" customFormat="false" ht="15" hidden="false" customHeight="false" outlineLevel="0" collapsed="false">
      <c r="A18" s="2" t="str">
        <f aca="false">Clips!A18</f>
        <v>C017</v>
      </c>
      <c r="B18" s="5"/>
      <c r="C18" s="7"/>
      <c r="D18" s="5"/>
      <c r="E18" s="5"/>
      <c r="F18" s="5"/>
      <c r="G18" s="5"/>
      <c r="H18" s="5"/>
      <c r="I18" s="5"/>
    </row>
    <row r="19" customFormat="false" ht="15" hidden="false" customHeight="false" outlineLevel="0" collapsed="false">
      <c r="A19" s="2" t="str">
        <f aca="false">Clips!A19</f>
        <v>C018</v>
      </c>
      <c r="B19" s="5"/>
      <c r="C19" s="7"/>
      <c r="D19" s="5"/>
      <c r="E19" s="5"/>
      <c r="F19" s="5"/>
      <c r="G19" s="5"/>
      <c r="H19" s="5"/>
      <c r="I19" s="5"/>
    </row>
    <row r="20" customFormat="false" ht="15" hidden="false" customHeight="false" outlineLevel="0" collapsed="false">
      <c r="A20" s="2" t="str">
        <f aca="false">Clips!A20</f>
        <v>C019</v>
      </c>
      <c r="B20" s="5"/>
      <c r="C20" s="7"/>
      <c r="D20" s="5"/>
      <c r="E20" s="5"/>
      <c r="F20" s="5"/>
      <c r="G20" s="5"/>
      <c r="H20" s="5"/>
      <c r="I20" s="5"/>
    </row>
    <row r="21" customFormat="false" ht="15" hidden="false" customHeight="false" outlineLevel="0" collapsed="false">
      <c r="A21" s="2" t="str">
        <f aca="false">Clips!A21</f>
        <v>C020</v>
      </c>
      <c r="B21" s="5"/>
      <c r="C21" s="7"/>
      <c r="D21" s="5"/>
      <c r="E21" s="5"/>
      <c r="F21" s="5"/>
      <c r="G21" s="5"/>
      <c r="H21" s="5"/>
      <c r="I21" s="5"/>
    </row>
    <row r="22" customFormat="false" ht="15" hidden="false" customHeight="false" outlineLevel="0" collapsed="false">
      <c r="A22" s="2" t="str">
        <f aca="false">Clips!A22</f>
        <v>C021</v>
      </c>
      <c r="B22" s="5"/>
      <c r="C22" s="7"/>
      <c r="D22" s="5"/>
      <c r="E22" s="5"/>
      <c r="F22" s="5"/>
      <c r="G22" s="5"/>
      <c r="H22" s="5"/>
      <c r="I22" s="5"/>
    </row>
    <row r="23" customFormat="false" ht="15" hidden="false" customHeight="false" outlineLevel="0" collapsed="false">
      <c r="A23" s="2" t="str">
        <f aca="false">Clips!A23</f>
        <v>C022</v>
      </c>
      <c r="B23" s="5"/>
      <c r="C23" s="7"/>
      <c r="D23" s="5"/>
      <c r="E23" s="5"/>
      <c r="F23" s="5"/>
      <c r="G23" s="5"/>
      <c r="H23" s="5"/>
      <c r="I23" s="5"/>
    </row>
    <row r="24" customFormat="false" ht="15" hidden="false" customHeight="false" outlineLevel="0" collapsed="false">
      <c r="A24" s="2" t="str">
        <f aca="false">Clips!A24</f>
        <v>C023</v>
      </c>
      <c r="B24" s="5"/>
      <c r="C24" s="7"/>
      <c r="D24" s="5"/>
      <c r="E24" s="5"/>
      <c r="F24" s="5"/>
      <c r="G24" s="5"/>
      <c r="H24" s="5"/>
      <c r="I24" s="5"/>
    </row>
    <row r="25" customFormat="false" ht="15" hidden="false" customHeight="false" outlineLevel="0" collapsed="false">
      <c r="A25" s="2" t="str">
        <f aca="false">Clips!A25</f>
        <v>C024</v>
      </c>
      <c r="B25" s="5"/>
      <c r="C25" s="7"/>
      <c r="D25" s="5"/>
      <c r="E25" s="5"/>
      <c r="F25" s="5"/>
      <c r="G25" s="5"/>
      <c r="H25" s="5"/>
      <c r="I25" s="5"/>
    </row>
    <row r="26" customFormat="false" ht="15" hidden="false" customHeight="false" outlineLevel="0" collapsed="false">
      <c r="A26" s="2" t="str">
        <f aca="false">Clips!A26</f>
        <v>C025</v>
      </c>
      <c r="B26" s="5"/>
      <c r="C26" s="7"/>
      <c r="D26" s="5"/>
      <c r="E26" s="5"/>
      <c r="F26" s="5"/>
      <c r="G26" s="5"/>
      <c r="H26" s="5"/>
      <c r="I26" s="5"/>
    </row>
    <row r="27" customFormat="false" ht="15" hidden="false" customHeight="false" outlineLevel="0" collapsed="false">
      <c r="A27" s="2" t="str">
        <f aca="false">Clips!A27</f>
        <v>C026</v>
      </c>
      <c r="B27" s="5"/>
      <c r="C27" s="7"/>
      <c r="D27" s="5"/>
      <c r="E27" s="5"/>
      <c r="F27" s="5"/>
      <c r="G27" s="5"/>
      <c r="H27" s="5"/>
      <c r="I27" s="5"/>
    </row>
    <row r="28" customFormat="false" ht="15" hidden="false" customHeight="false" outlineLevel="0" collapsed="false">
      <c r="A28" s="2" t="str">
        <f aca="false">Clips!A28</f>
        <v>C027</v>
      </c>
      <c r="B28" s="5"/>
      <c r="C28" s="7"/>
      <c r="D28" s="5"/>
      <c r="E28" s="5"/>
      <c r="F28" s="5"/>
      <c r="G28" s="5"/>
      <c r="H28" s="5"/>
      <c r="I28" s="5"/>
    </row>
    <row r="29" customFormat="false" ht="15" hidden="false" customHeight="false" outlineLevel="0" collapsed="false">
      <c r="A29" s="2" t="str">
        <f aca="false">Clips!A29</f>
        <v>C028</v>
      </c>
      <c r="B29" s="5"/>
      <c r="C29" s="7"/>
      <c r="D29" s="5"/>
      <c r="E29" s="5"/>
      <c r="F29" s="5"/>
      <c r="G29" s="5"/>
      <c r="H29" s="5"/>
      <c r="I29" s="5"/>
    </row>
    <row r="30" customFormat="false" ht="15" hidden="false" customHeight="false" outlineLevel="0" collapsed="false">
      <c r="A30" s="2" t="str">
        <f aca="false">Clips!A30</f>
        <v>C029</v>
      </c>
      <c r="B30" s="5"/>
      <c r="C30" s="7"/>
      <c r="D30" s="5"/>
      <c r="E30" s="5"/>
      <c r="F30" s="5"/>
      <c r="G30" s="5"/>
      <c r="H30" s="5"/>
      <c r="I30" s="5"/>
    </row>
    <row r="31" customFormat="false" ht="15" hidden="false" customHeight="false" outlineLevel="0" collapsed="false">
      <c r="A31" s="2" t="str">
        <f aca="false">Clips!A31</f>
        <v>C030</v>
      </c>
      <c r="B31" s="5"/>
      <c r="C31" s="7"/>
      <c r="D31" s="5"/>
      <c r="E31" s="5"/>
      <c r="F31" s="5"/>
      <c r="G31" s="5"/>
      <c r="H31" s="5"/>
      <c r="I31" s="5"/>
    </row>
    <row r="32" customFormat="false" ht="15" hidden="false" customHeight="false" outlineLevel="0" collapsed="false">
      <c r="A32" s="2" t="str">
        <f aca="false">Clips!A32</f>
        <v>C031</v>
      </c>
      <c r="B32" s="5"/>
      <c r="C32" s="7"/>
      <c r="D32" s="5"/>
      <c r="E32" s="5"/>
      <c r="F32" s="5"/>
      <c r="G32" s="5"/>
      <c r="H32" s="5"/>
      <c r="I32" s="5"/>
    </row>
    <row r="33" customFormat="false" ht="15" hidden="false" customHeight="false" outlineLevel="0" collapsed="false">
      <c r="A33" s="2" t="str">
        <f aca="false">Clips!A33</f>
        <v>C032</v>
      </c>
      <c r="B33" s="5"/>
      <c r="C33" s="7"/>
      <c r="D33" s="5"/>
      <c r="E33" s="5"/>
      <c r="F33" s="5"/>
      <c r="G33" s="5"/>
      <c r="H33" s="5"/>
      <c r="I33" s="5"/>
    </row>
    <row r="34" customFormat="false" ht="15" hidden="false" customHeight="false" outlineLevel="0" collapsed="false">
      <c r="A34" s="2" t="str">
        <f aca="false">Clips!A34</f>
        <v>C033</v>
      </c>
      <c r="B34" s="5"/>
      <c r="C34" s="7"/>
      <c r="D34" s="5"/>
      <c r="E34" s="5"/>
      <c r="F34" s="5"/>
      <c r="G34" s="5"/>
      <c r="H34" s="5"/>
      <c r="I34" s="5"/>
    </row>
    <row r="35" customFormat="false" ht="15" hidden="false" customHeight="false" outlineLevel="0" collapsed="false">
      <c r="A35" s="2" t="str">
        <f aca="false">Clips!A35</f>
        <v>C034</v>
      </c>
      <c r="B35" s="5"/>
      <c r="C35" s="7"/>
      <c r="D35" s="5"/>
      <c r="E35" s="5"/>
      <c r="F35" s="5"/>
      <c r="G35" s="5"/>
      <c r="H35" s="5"/>
      <c r="I35" s="5"/>
    </row>
    <row r="36" customFormat="false" ht="15" hidden="false" customHeight="false" outlineLevel="0" collapsed="false">
      <c r="A36" s="2" t="str">
        <f aca="false">Clips!A36</f>
        <v>C035</v>
      </c>
      <c r="B36" s="5"/>
      <c r="C36" s="7"/>
      <c r="D36" s="5"/>
      <c r="E36" s="5"/>
      <c r="F36" s="5"/>
      <c r="G36" s="5"/>
      <c r="H36" s="5"/>
      <c r="I36" s="5"/>
    </row>
    <row r="37" customFormat="false" ht="15" hidden="false" customHeight="false" outlineLevel="0" collapsed="false">
      <c r="A37" s="2" t="str">
        <f aca="false">Clips!A37</f>
        <v>C036</v>
      </c>
      <c r="B37" s="5"/>
      <c r="C37" s="7"/>
      <c r="D37" s="5"/>
      <c r="E37" s="5"/>
      <c r="F37" s="5"/>
      <c r="G37" s="5"/>
      <c r="H37" s="5"/>
      <c r="I37" s="5"/>
    </row>
    <row r="38" customFormat="false" ht="15" hidden="false" customHeight="false" outlineLevel="0" collapsed="false">
      <c r="A38" s="2" t="str">
        <f aca="false">Clips!A38</f>
        <v>C037</v>
      </c>
      <c r="B38" s="5"/>
      <c r="C38" s="7"/>
      <c r="D38" s="5"/>
      <c r="E38" s="5"/>
      <c r="F38" s="5"/>
      <c r="G38" s="5"/>
      <c r="H38" s="5"/>
      <c r="I38" s="5"/>
    </row>
    <row r="39" customFormat="false" ht="15" hidden="false" customHeight="false" outlineLevel="0" collapsed="false">
      <c r="A39" s="2" t="str">
        <f aca="false">Clips!A39</f>
        <v>C038</v>
      </c>
      <c r="B39" s="5"/>
      <c r="C39" s="7"/>
      <c r="D39" s="5"/>
      <c r="E39" s="5"/>
      <c r="F39" s="5"/>
      <c r="G39" s="5"/>
      <c r="H39" s="5"/>
      <c r="I39" s="5"/>
    </row>
    <row r="40" customFormat="false" ht="15" hidden="false" customHeight="false" outlineLevel="0" collapsed="false">
      <c r="A40" s="2" t="str">
        <f aca="false">Clips!A40</f>
        <v>C039</v>
      </c>
      <c r="B40" s="5"/>
      <c r="C40" s="7"/>
      <c r="D40" s="5"/>
      <c r="E40" s="5"/>
      <c r="F40" s="5"/>
      <c r="G40" s="5"/>
      <c r="H40" s="5"/>
      <c r="I40" s="5"/>
    </row>
    <row r="41" customFormat="false" ht="15" hidden="false" customHeight="false" outlineLevel="0" collapsed="false">
      <c r="A41" s="2" t="str">
        <f aca="false">Clips!A41</f>
        <v>C040</v>
      </c>
      <c r="B41" s="5"/>
      <c r="C41" s="7"/>
      <c r="D41" s="5"/>
      <c r="E41" s="5"/>
      <c r="F41" s="5"/>
      <c r="G41" s="5"/>
      <c r="H41" s="5"/>
      <c r="I41" s="5"/>
    </row>
    <row r="42" customFormat="false" ht="15" hidden="false" customHeight="false" outlineLevel="0" collapsed="false">
      <c r="A42" s="2" t="str">
        <f aca="false">Clips!A42</f>
        <v>C041</v>
      </c>
      <c r="B42" s="5"/>
      <c r="C42" s="7"/>
      <c r="D42" s="5"/>
      <c r="E42" s="5"/>
      <c r="F42" s="5"/>
      <c r="G42" s="5"/>
      <c r="H42" s="5"/>
      <c r="I42" s="5"/>
    </row>
    <row r="43" customFormat="false" ht="15" hidden="false" customHeight="false" outlineLevel="0" collapsed="false">
      <c r="A43" s="2" t="str">
        <f aca="false">Clips!A43</f>
        <v>C042</v>
      </c>
      <c r="B43" s="5"/>
      <c r="C43" s="7"/>
      <c r="D43" s="5"/>
      <c r="E43" s="5"/>
      <c r="F43" s="5"/>
      <c r="G43" s="5"/>
      <c r="H43" s="5"/>
      <c r="I43" s="5"/>
    </row>
    <row r="44" customFormat="false" ht="15" hidden="false" customHeight="false" outlineLevel="0" collapsed="false">
      <c r="A44" s="2" t="str">
        <f aca="false">Clips!A44</f>
        <v>C043</v>
      </c>
      <c r="B44" s="5"/>
      <c r="C44" s="7"/>
      <c r="D44" s="5"/>
      <c r="E44" s="5"/>
      <c r="F44" s="5"/>
      <c r="G44" s="5"/>
      <c r="H44" s="5"/>
      <c r="I44" s="5"/>
    </row>
    <row r="45" customFormat="false" ht="15" hidden="false" customHeight="false" outlineLevel="0" collapsed="false">
      <c r="A45" s="2" t="str">
        <f aca="false">Clips!A45</f>
        <v>C044</v>
      </c>
      <c r="B45" s="5"/>
      <c r="C45" s="7"/>
      <c r="D45" s="5"/>
      <c r="E45" s="5"/>
      <c r="F45" s="5"/>
      <c r="G45" s="5"/>
      <c r="H45" s="5"/>
      <c r="I45" s="5"/>
    </row>
    <row r="46" customFormat="false" ht="15" hidden="false" customHeight="false" outlineLevel="0" collapsed="false">
      <c r="A46" s="2" t="str">
        <f aca="false">Clips!A46</f>
        <v>C045</v>
      </c>
      <c r="B46" s="5"/>
      <c r="C46" s="7"/>
      <c r="D46" s="5"/>
      <c r="E46" s="5"/>
      <c r="F46" s="5"/>
      <c r="G46" s="5"/>
      <c r="H46" s="5"/>
      <c r="I46" s="5"/>
    </row>
    <row r="47" customFormat="false" ht="15" hidden="false" customHeight="false" outlineLevel="0" collapsed="false">
      <c r="A47" s="2" t="str">
        <f aca="false">Clips!A47</f>
        <v>C046</v>
      </c>
      <c r="B47" s="5"/>
      <c r="C47" s="7"/>
      <c r="D47" s="5"/>
      <c r="E47" s="5"/>
      <c r="F47" s="5"/>
      <c r="G47" s="5"/>
      <c r="H47" s="5"/>
      <c r="I47" s="5"/>
    </row>
    <row r="48" customFormat="false" ht="15" hidden="false" customHeight="false" outlineLevel="0" collapsed="false">
      <c r="A48" s="2" t="str">
        <f aca="false">Clips!A48</f>
        <v>C047</v>
      </c>
      <c r="B48" s="5"/>
      <c r="C48" s="7"/>
      <c r="D48" s="5"/>
      <c r="E48" s="5"/>
      <c r="F48" s="5"/>
      <c r="G48" s="5"/>
      <c r="H48" s="5"/>
      <c r="I48" s="5"/>
    </row>
    <row r="49" customFormat="false" ht="15" hidden="false" customHeight="false" outlineLevel="0" collapsed="false">
      <c r="A49" s="2" t="str">
        <f aca="false">Clips!A49</f>
        <v>C048</v>
      </c>
      <c r="B49" s="5"/>
      <c r="C49" s="7"/>
      <c r="D49" s="5"/>
      <c r="E49" s="5"/>
      <c r="F49" s="5"/>
      <c r="G49" s="5"/>
      <c r="H49" s="5"/>
      <c r="I49" s="5"/>
    </row>
    <row r="50" customFormat="false" ht="15" hidden="false" customHeight="false" outlineLevel="0" collapsed="false">
      <c r="A50" s="2" t="str">
        <f aca="false">Clips!A50</f>
        <v>C049</v>
      </c>
      <c r="B50" s="5"/>
      <c r="C50" s="7"/>
      <c r="D50" s="5"/>
      <c r="E50" s="5"/>
      <c r="F50" s="5"/>
      <c r="G50" s="5"/>
      <c r="H50" s="5"/>
      <c r="I50" s="5"/>
    </row>
    <row r="51" customFormat="false" ht="15" hidden="false" customHeight="false" outlineLevel="0" collapsed="false">
      <c r="A51" s="2" t="str">
        <f aca="false">Clips!A51</f>
        <v>C050</v>
      </c>
      <c r="B51" s="5"/>
      <c r="C51" s="7"/>
      <c r="D51" s="5"/>
      <c r="E51" s="5"/>
      <c r="F51" s="5"/>
      <c r="G51" s="5"/>
      <c r="H51" s="5"/>
      <c r="I51" s="5"/>
    </row>
  </sheetData>
  <dataValidations count="5">
    <dataValidation allowBlank="true" errorStyle="stop" operator="between" showDropDown="false" showErrorMessage="false" showInputMessage="false" sqref="E2:E51" type="list">
      <formula1>"Y,N"</formula1>
      <formula2>0</formula2>
    </dataValidation>
    <dataValidation allowBlank="true" errorStyle="stop" operator="between" showDropDown="false" showErrorMessage="false" showInputMessage="false" sqref="F2:F51" type="list">
      <formula1>"Y,N"</formula1>
      <formula2>0</formula2>
    </dataValidation>
    <dataValidation allowBlank="true" errorStyle="stop" operator="between" showDropDown="false" showErrorMessage="false" showInputMessage="false" sqref="G2:G51" type="list">
      <formula1>"Y,N"</formula1>
      <formula2>0</formula2>
    </dataValidation>
    <dataValidation allowBlank="true" errorStyle="stop" operator="between" showDropDown="false" showErrorMessage="false" showInputMessage="false" sqref="H2:H51" type="list">
      <formula1>"Y,N"</formula1>
      <formula2>0</formula2>
    </dataValidation>
    <dataValidation allowBlank="true" errorStyle="stop" operator="between" showDropDown="false" showErrorMessage="false" showInputMessage="false" sqref="D2:D5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3" min="10" style="0" width="12"/>
    <col collapsed="false" customWidth="true" hidden="false" outlineLevel="0" max="14" min="14" style="0" width="14"/>
    <col collapsed="false" customWidth="true" hidden="false" outlineLevel="0" max="15" min="15" style="0" width="45"/>
  </cols>
  <sheetData>
    <row r="1" customFormat="false" ht="26.85" hidden="false" customHeight="false" outlineLevel="0" collapsed="false">
      <c r="A1" s="3" t="s">
        <v>9</v>
      </c>
      <c r="B1" s="3" t="s">
        <v>94</v>
      </c>
      <c r="C1" s="3" t="s">
        <v>95</v>
      </c>
      <c r="D1" s="3" t="s">
        <v>96</v>
      </c>
      <c r="E1" s="3" t="s">
        <v>97</v>
      </c>
      <c r="F1" s="3" t="s">
        <v>98</v>
      </c>
      <c r="G1" s="3" t="s">
        <v>99</v>
      </c>
      <c r="H1" s="3" t="s">
        <v>100</v>
      </c>
      <c r="I1" s="3" t="s">
        <v>101</v>
      </c>
      <c r="J1" s="3" t="s">
        <v>102</v>
      </c>
      <c r="K1" s="3" t="s">
        <v>103</v>
      </c>
      <c r="L1" s="3" t="s">
        <v>104</v>
      </c>
      <c r="M1" s="3" t="s">
        <v>105</v>
      </c>
      <c r="N1" s="3" t="s">
        <v>106</v>
      </c>
      <c r="O1" s="3" t="s">
        <v>107</v>
      </c>
    </row>
    <row r="2" customFormat="false" ht="15" hidden="false" customHeight="false" outlineLevel="0" collapsed="false">
      <c r="A2" s="2" t="str">
        <f aca="false">Clips!A4</f>
        <v>C003</v>
      </c>
      <c r="B2" s="2" t="n">
        <f aca="false">Labels!B4</f>
        <v>0</v>
      </c>
      <c r="C2" s="2" t="n">
        <f aca="false">Labels!C4</f>
        <v>0</v>
      </c>
      <c r="D2" s="2" t="n">
        <f aca="false">Labels!F4</f>
        <v>0</v>
      </c>
      <c r="E2" s="2" t="n">
        <f aca="false">Labels!G4</f>
        <v>0</v>
      </c>
      <c r="F2" s="5"/>
      <c r="G2" s="5"/>
      <c r="H2" s="5"/>
      <c r="I2" s="5"/>
      <c r="J2" s="2" t="str">
        <f aca="false">IF(F2="","",IF(F2=B2,1,0))</f>
        <v/>
      </c>
      <c r="K2" s="2" t="str">
        <f aca="false">IF(G2="","",IF(G2=C2,1,0))</f>
        <v/>
      </c>
      <c r="L2" s="2" t="str">
        <f aca="false">IF(H2="","",IF(H2=D2,1,0))</f>
        <v/>
      </c>
      <c r="M2" s="2" t="str">
        <f aca="false">IF(I2="","",IF(I2=E2,1,0))</f>
        <v/>
      </c>
      <c r="N2" s="2" t="str">
        <f aca="false">IF(OR(J2="",K2="",L2=""),"",IF(AND(J2=1,K2=1,L2=1),1,0))</f>
        <v/>
      </c>
      <c r="O2" s="5"/>
    </row>
    <row r="3" customFormat="false" ht="15" hidden="false" customHeight="false" outlineLevel="0" collapsed="false">
      <c r="A3" s="2" t="str">
        <f aca="false">Clips!A6</f>
        <v>C005</v>
      </c>
      <c r="B3" s="2" t="n">
        <f aca="false">Labels!B6</f>
        <v>0</v>
      </c>
      <c r="C3" s="2" t="n">
        <f aca="false">Labels!C6</f>
        <v>0</v>
      </c>
      <c r="D3" s="2" t="n">
        <f aca="false">Labels!F6</f>
        <v>0</v>
      </c>
      <c r="E3" s="2" t="n">
        <f aca="false">Labels!G6</f>
        <v>0</v>
      </c>
      <c r="F3" s="5"/>
      <c r="G3" s="5"/>
      <c r="H3" s="5"/>
      <c r="I3" s="5"/>
      <c r="J3" s="2" t="str">
        <f aca="false">IF(F3="","",IF(F3=B3,1,0))</f>
        <v/>
      </c>
      <c r="K3" s="2" t="str">
        <f aca="false">IF(G3="","",IF(G3=C3,1,0))</f>
        <v/>
      </c>
      <c r="L3" s="2" t="str">
        <f aca="false">IF(H3="","",IF(H3=D3,1,0))</f>
        <v/>
      </c>
      <c r="M3" s="2" t="str">
        <f aca="false">IF(I3="","",IF(I3=E3,1,0))</f>
        <v/>
      </c>
      <c r="N3" s="2" t="str">
        <f aca="false">IF(OR(J3="",K3="",L3=""),"",IF(AND(J3=1,K3=1,L3=1),1,0))</f>
        <v/>
      </c>
      <c r="O3" s="5"/>
    </row>
    <row r="4" customFormat="false" ht="15" hidden="false" customHeight="false" outlineLevel="0" collapsed="false">
      <c r="A4" s="2" t="str">
        <f aca="false">Clips!A9</f>
        <v>C008</v>
      </c>
      <c r="B4" s="2" t="n">
        <f aca="false">Labels!B9</f>
        <v>0</v>
      </c>
      <c r="C4" s="2" t="n">
        <f aca="false">Labels!C9</f>
        <v>0</v>
      </c>
      <c r="D4" s="2" t="n">
        <f aca="false">Labels!F9</f>
        <v>0</v>
      </c>
      <c r="E4" s="2" t="n">
        <f aca="false">Labels!G9</f>
        <v>0</v>
      </c>
      <c r="F4" s="5"/>
      <c r="G4" s="5"/>
      <c r="H4" s="5"/>
      <c r="I4" s="5"/>
      <c r="J4" s="2" t="str">
        <f aca="false">IF(F4="","",IF(F4=B4,1,0))</f>
        <v/>
      </c>
      <c r="K4" s="2" t="str">
        <f aca="false">IF(G4="","",IF(G4=C4,1,0))</f>
        <v/>
      </c>
      <c r="L4" s="2" t="str">
        <f aca="false">IF(H4="","",IF(H4=D4,1,0))</f>
        <v/>
      </c>
      <c r="M4" s="2" t="str">
        <f aca="false">IF(I4="","",IF(I4=E4,1,0))</f>
        <v/>
      </c>
      <c r="N4" s="2" t="str">
        <f aca="false">IF(OR(J4="",K4="",L4=""),"",IF(AND(J4=1,K4=1,L4=1),1,0))</f>
        <v/>
      </c>
      <c r="O4" s="5"/>
    </row>
    <row r="5" customFormat="false" ht="15" hidden="false" customHeight="false" outlineLevel="0" collapsed="false">
      <c r="A5" s="2" t="str">
        <f aca="false">Clips!A11</f>
        <v>C010</v>
      </c>
      <c r="B5" s="2" t="n">
        <f aca="false">Labels!B11</f>
        <v>0</v>
      </c>
      <c r="C5" s="2" t="n">
        <f aca="false">Labels!C11</f>
        <v>0</v>
      </c>
      <c r="D5" s="2" t="n">
        <f aca="false">Labels!F11</f>
        <v>0</v>
      </c>
      <c r="E5" s="2" t="n">
        <f aca="false">Labels!G11</f>
        <v>0</v>
      </c>
      <c r="F5" s="5"/>
      <c r="G5" s="5"/>
      <c r="H5" s="5"/>
      <c r="I5" s="5"/>
      <c r="J5" s="2" t="str">
        <f aca="false">IF(F5="","",IF(F5=B5,1,0))</f>
        <v/>
      </c>
      <c r="K5" s="2" t="str">
        <f aca="false">IF(G5="","",IF(G5=C5,1,0))</f>
        <v/>
      </c>
      <c r="L5" s="2" t="str">
        <f aca="false">IF(H5="","",IF(H5=D5,1,0))</f>
        <v/>
      </c>
      <c r="M5" s="2" t="str">
        <f aca="false">IF(I5="","",IF(I5=E5,1,0))</f>
        <v/>
      </c>
      <c r="N5" s="2" t="str">
        <f aca="false">IF(OR(J5="",K5="",L5=""),"",IF(AND(J5=1,K5=1,L5=1),1,0))</f>
        <v/>
      </c>
      <c r="O5" s="5"/>
    </row>
    <row r="6" customFormat="false" ht="15" hidden="false" customHeight="false" outlineLevel="0" collapsed="false">
      <c r="A6" s="2" t="str">
        <f aca="false">Clips!A14</f>
        <v>C013</v>
      </c>
      <c r="B6" s="2" t="n">
        <f aca="false">Labels!B14</f>
        <v>0</v>
      </c>
      <c r="C6" s="2" t="n">
        <f aca="false">Labels!C14</f>
        <v>0</v>
      </c>
      <c r="D6" s="2" t="n">
        <f aca="false">Labels!F14</f>
        <v>0</v>
      </c>
      <c r="E6" s="2" t="n">
        <f aca="false">Labels!G14</f>
        <v>0</v>
      </c>
      <c r="F6" s="5"/>
      <c r="G6" s="5"/>
      <c r="H6" s="5"/>
      <c r="I6" s="5"/>
      <c r="J6" s="2" t="str">
        <f aca="false">IF(F6="","",IF(F6=B6,1,0))</f>
        <v/>
      </c>
      <c r="K6" s="2" t="str">
        <f aca="false">IF(G6="","",IF(G6=C6,1,0))</f>
        <v/>
      </c>
      <c r="L6" s="2" t="str">
        <f aca="false">IF(H6="","",IF(H6=D6,1,0))</f>
        <v/>
      </c>
      <c r="M6" s="2" t="str">
        <f aca="false">IF(I6="","",IF(I6=E6,1,0))</f>
        <v/>
      </c>
      <c r="N6" s="2" t="str">
        <f aca="false">IF(OR(J6="",K6="",L6=""),"",IF(AND(J6=1,K6=1,L6=1),1,0))</f>
        <v/>
      </c>
      <c r="O6" s="5"/>
    </row>
    <row r="7" customFormat="false" ht="15" hidden="false" customHeight="false" outlineLevel="0" collapsed="false">
      <c r="A7" s="2" t="str">
        <f aca="false">Clips!A16</f>
        <v>C015</v>
      </c>
      <c r="B7" s="2" t="n">
        <f aca="false">Labels!B16</f>
        <v>0</v>
      </c>
      <c r="C7" s="2" t="n">
        <f aca="false">Labels!C16</f>
        <v>0</v>
      </c>
      <c r="D7" s="2" t="n">
        <f aca="false">Labels!F16</f>
        <v>0</v>
      </c>
      <c r="E7" s="2" t="n">
        <f aca="false">Labels!G16</f>
        <v>0</v>
      </c>
      <c r="F7" s="5"/>
      <c r="G7" s="5"/>
      <c r="H7" s="5"/>
      <c r="I7" s="5"/>
      <c r="J7" s="2" t="str">
        <f aca="false">IF(F7="","",IF(F7=B7,1,0))</f>
        <v/>
      </c>
      <c r="K7" s="2" t="str">
        <f aca="false">IF(G7="","",IF(G7=C7,1,0))</f>
        <v/>
      </c>
      <c r="L7" s="2" t="str">
        <f aca="false">IF(H7="","",IF(H7=D7,1,0))</f>
        <v/>
      </c>
      <c r="M7" s="2" t="str">
        <f aca="false">IF(I7="","",IF(I7=E7,1,0))</f>
        <v/>
      </c>
      <c r="N7" s="2" t="str">
        <f aca="false">IF(OR(J7="",K7="",L7=""),"",IF(AND(J7=1,K7=1,L7=1),1,0))</f>
        <v/>
      </c>
      <c r="O7" s="5"/>
    </row>
    <row r="8" customFormat="false" ht="15" hidden="false" customHeight="false" outlineLevel="0" collapsed="false">
      <c r="A8" s="2" t="str">
        <f aca="false">Clips!A19</f>
        <v>C018</v>
      </c>
      <c r="B8" s="2" t="n">
        <f aca="false">Labels!B19</f>
        <v>0</v>
      </c>
      <c r="C8" s="2" t="n">
        <f aca="false">Labels!C19</f>
        <v>0</v>
      </c>
      <c r="D8" s="2" t="n">
        <f aca="false">Labels!F19</f>
        <v>0</v>
      </c>
      <c r="E8" s="2" t="n">
        <f aca="false">Labels!G19</f>
        <v>0</v>
      </c>
      <c r="F8" s="5"/>
      <c r="G8" s="5"/>
      <c r="H8" s="5"/>
      <c r="I8" s="5"/>
      <c r="J8" s="2" t="str">
        <f aca="false">IF(F8="","",IF(F8=B8,1,0))</f>
        <v/>
      </c>
      <c r="K8" s="2" t="str">
        <f aca="false">IF(G8="","",IF(G8=C8,1,0))</f>
        <v/>
      </c>
      <c r="L8" s="2" t="str">
        <f aca="false">IF(H8="","",IF(H8=D8,1,0))</f>
        <v/>
      </c>
      <c r="M8" s="2" t="str">
        <f aca="false">IF(I8="","",IF(I8=E8,1,0))</f>
        <v/>
      </c>
      <c r="N8" s="2" t="str">
        <f aca="false">IF(OR(J8="",K8="",L8=""),"",IF(AND(J8=1,K8=1,L8=1),1,0))</f>
        <v/>
      </c>
      <c r="O8" s="5"/>
    </row>
    <row r="9" customFormat="false" ht="15" hidden="false" customHeight="false" outlineLevel="0" collapsed="false">
      <c r="A9" s="2" t="str">
        <f aca="false">Clips!A21</f>
        <v>C020</v>
      </c>
      <c r="B9" s="2" t="n">
        <f aca="false">Labels!B21</f>
        <v>0</v>
      </c>
      <c r="C9" s="2" t="n">
        <f aca="false">Labels!C21</f>
        <v>0</v>
      </c>
      <c r="D9" s="2" t="n">
        <f aca="false">Labels!F21</f>
        <v>0</v>
      </c>
      <c r="E9" s="2" t="n">
        <f aca="false">Labels!G21</f>
        <v>0</v>
      </c>
      <c r="F9" s="5"/>
      <c r="G9" s="5"/>
      <c r="H9" s="5"/>
      <c r="I9" s="5"/>
      <c r="J9" s="2" t="str">
        <f aca="false">IF(F9="","",IF(F9=B9,1,0))</f>
        <v/>
      </c>
      <c r="K9" s="2" t="str">
        <f aca="false">IF(G9="","",IF(G9=C9,1,0))</f>
        <v/>
      </c>
      <c r="L9" s="2" t="str">
        <f aca="false">IF(H9="","",IF(H9=D9,1,0))</f>
        <v/>
      </c>
      <c r="M9" s="2" t="str">
        <f aca="false">IF(I9="","",IF(I9=E9,1,0))</f>
        <v/>
      </c>
      <c r="N9" s="2" t="str">
        <f aca="false">IF(OR(J9="",K9="",L9=""),"",IF(AND(J9=1,K9=1,L9=1),1,0))</f>
        <v/>
      </c>
      <c r="O9" s="5"/>
    </row>
    <row r="10" customFormat="false" ht="15" hidden="false" customHeight="false" outlineLevel="0" collapsed="false">
      <c r="A10" s="2" t="str">
        <f aca="false">Clips!A24</f>
        <v>C023</v>
      </c>
      <c r="B10" s="2" t="n">
        <f aca="false">Labels!B24</f>
        <v>0</v>
      </c>
      <c r="C10" s="2" t="n">
        <f aca="false">Labels!C24</f>
        <v>0</v>
      </c>
      <c r="D10" s="2" t="n">
        <f aca="false">Labels!F24</f>
        <v>0</v>
      </c>
      <c r="E10" s="2" t="n">
        <f aca="false">Labels!G24</f>
        <v>0</v>
      </c>
      <c r="F10" s="5"/>
      <c r="G10" s="5"/>
      <c r="H10" s="5"/>
      <c r="I10" s="5"/>
      <c r="J10" s="2" t="str">
        <f aca="false">IF(F10="","",IF(F10=B10,1,0))</f>
        <v/>
      </c>
      <c r="K10" s="2" t="str">
        <f aca="false">IF(G10="","",IF(G10=C10,1,0))</f>
        <v/>
      </c>
      <c r="L10" s="2" t="str">
        <f aca="false">IF(H10="","",IF(H10=D10,1,0))</f>
        <v/>
      </c>
      <c r="M10" s="2" t="str">
        <f aca="false">IF(I10="","",IF(I10=E10,1,0))</f>
        <v/>
      </c>
      <c r="N10" s="2" t="str">
        <f aca="false">IF(OR(J10="",K10="",L10=""),"",IF(AND(J10=1,K10=1,L10=1),1,0))</f>
        <v/>
      </c>
      <c r="O10" s="5"/>
    </row>
    <row r="11" customFormat="false" ht="15" hidden="false" customHeight="false" outlineLevel="0" collapsed="false">
      <c r="A11" s="2" t="str">
        <f aca="false">Clips!A26</f>
        <v>C025</v>
      </c>
      <c r="B11" s="2" t="n">
        <f aca="false">Labels!B26</f>
        <v>0</v>
      </c>
      <c r="C11" s="2" t="n">
        <f aca="false">Labels!C26</f>
        <v>0</v>
      </c>
      <c r="D11" s="2" t="n">
        <f aca="false">Labels!F26</f>
        <v>0</v>
      </c>
      <c r="E11" s="2" t="n">
        <f aca="false">Labels!G26</f>
        <v>0</v>
      </c>
      <c r="F11" s="5"/>
      <c r="G11" s="5"/>
      <c r="H11" s="5"/>
      <c r="I11" s="5"/>
      <c r="J11" s="2" t="str">
        <f aca="false">IF(F11="","",IF(F11=B11,1,0))</f>
        <v/>
      </c>
      <c r="K11" s="2" t="str">
        <f aca="false">IF(G11="","",IF(G11=C11,1,0))</f>
        <v/>
      </c>
      <c r="L11" s="2" t="str">
        <f aca="false">IF(H11="","",IF(H11=D11,1,0))</f>
        <v/>
      </c>
      <c r="M11" s="2" t="str">
        <f aca="false">IF(I11="","",IF(I11=E11,1,0))</f>
        <v/>
      </c>
      <c r="N11" s="2" t="str">
        <f aca="false">IF(OR(J11="",K11="",L11=""),"",IF(AND(J11=1,K11=1,L11=1),1,0))</f>
        <v/>
      </c>
      <c r="O11" s="5"/>
    </row>
    <row r="12" customFormat="false" ht="15" hidden="false" customHeight="false" outlineLevel="0" collapsed="false">
      <c r="A12" s="2" t="str">
        <f aca="false">Clips!A29</f>
        <v>C028</v>
      </c>
      <c r="B12" s="2" t="n">
        <f aca="false">Labels!B29</f>
        <v>0</v>
      </c>
      <c r="C12" s="2" t="n">
        <f aca="false">Labels!C29</f>
        <v>0</v>
      </c>
      <c r="D12" s="2" t="n">
        <f aca="false">Labels!F29</f>
        <v>0</v>
      </c>
      <c r="E12" s="2" t="n">
        <f aca="false">Labels!G29</f>
        <v>0</v>
      </c>
      <c r="F12" s="5"/>
      <c r="G12" s="5"/>
      <c r="H12" s="5"/>
      <c r="I12" s="5"/>
      <c r="J12" s="2" t="str">
        <f aca="false">IF(F12="","",IF(F12=B12,1,0))</f>
        <v/>
      </c>
      <c r="K12" s="2" t="str">
        <f aca="false">IF(G12="","",IF(G12=C12,1,0))</f>
        <v/>
      </c>
      <c r="L12" s="2" t="str">
        <f aca="false">IF(H12="","",IF(H12=D12,1,0))</f>
        <v/>
      </c>
      <c r="M12" s="2" t="str">
        <f aca="false">IF(I12="","",IF(I12=E12,1,0))</f>
        <v/>
      </c>
      <c r="N12" s="2" t="str">
        <f aca="false">IF(OR(J12="",K12="",L12=""),"",IF(AND(J12=1,K12=1,L12=1),1,0))</f>
        <v/>
      </c>
      <c r="O12" s="5"/>
    </row>
    <row r="13" customFormat="false" ht="15" hidden="false" customHeight="false" outlineLevel="0" collapsed="false">
      <c r="A13" s="2" t="str">
        <f aca="false">Clips!A31</f>
        <v>C030</v>
      </c>
      <c r="B13" s="2" t="n">
        <f aca="false">Labels!B31</f>
        <v>0</v>
      </c>
      <c r="C13" s="2" t="n">
        <f aca="false">Labels!C31</f>
        <v>0</v>
      </c>
      <c r="D13" s="2" t="n">
        <f aca="false">Labels!F31</f>
        <v>0</v>
      </c>
      <c r="E13" s="2" t="n">
        <f aca="false">Labels!G31</f>
        <v>0</v>
      </c>
      <c r="F13" s="5"/>
      <c r="G13" s="5"/>
      <c r="H13" s="5"/>
      <c r="I13" s="5"/>
      <c r="J13" s="2" t="str">
        <f aca="false">IF(F13="","",IF(F13=B13,1,0))</f>
        <v/>
      </c>
      <c r="K13" s="2" t="str">
        <f aca="false">IF(G13="","",IF(G13=C13,1,0))</f>
        <v/>
      </c>
      <c r="L13" s="2" t="str">
        <f aca="false">IF(H13="","",IF(H13=D13,1,0))</f>
        <v/>
      </c>
      <c r="M13" s="2" t="str">
        <f aca="false">IF(I13="","",IF(I13=E13,1,0))</f>
        <v/>
      </c>
      <c r="N13" s="2" t="str">
        <f aca="false">IF(OR(J13="",K13="",L13=""),"",IF(AND(J13=1,K13=1,L13=1),1,0))</f>
        <v/>
      </c>
      <c r="O13" s="5"/>
    </row>
    <row r="14" customFormat="false" ht="15" hidden="false" customHeight="false" outlineLevel="0" collapsed="false">
      <c r="A14" s="2" t="str">
        <f aca="false">Clips!A34</f>
        <v>C033</v>
      </c>
      <c r="B14" s="2" t="n">
        <f aca="false">Labels!B34</f>
        <v>0</v>
      </c>
      <c r="C14" s="2" t="n">
        <f aca="false">Labels!C34</f>
        <v>0</v>
      </c>
      <c r="D14" s="2" t="n">
        <f aca="false">Labels!F34</f>
        <v>0</v>
      </c>
      <c r="E14" s="2" t="n">
        <f aca="false">Labels!G34</f>
        <v>0</v>
      </c>
      <c r="F14" s="5"/>
      <c r="G14" s="5"/>
      <c r="H14" s="5"/>
      <c r="I14" s="5"/>
      <c r="J14" s="2" t="str">
        <f aca="false">IF(F14="","",IF(F14=B14,1,0))</f>
        <v/>
      </c>
      <c r="K14" s="2" t="str">
        <f aca="false">IF(G14="","",IF(G14=C14,1,0))</f>
        <v/>
      </c>
      <c r="L14" s="2" t="str">
        <f aca="false">IF(H14="","",IF(H14=D14,1,0))</f>
        <v/>
      </c>
      <c r="M14" s="2" t="str">
        <f aca="false">IF(I14="","",IF(I14=E14,1,0))</f>
        <v/>
      </c>
      <c r="N14" s="2" t="str">
        <f aca="false">IF(OR(J14="",K14="",L14=""),"",IF(AND(J14=1,K14=1,L14=1),1,0))</f>
        <v/>
      </c>
      <c r="O14" s="5"/>
    </row>
    <row r="15" customFormat="false" ht="15" hidden="false" customHeight="false" outlineLevel="0" collapsed="false">
      <c r="A15" s="2" t="str">
        <f aca="false">Clips!A36</f>
        <v>C035</v>
      </c>
      <c r="B15" s="2" t="n">
        <f aca="false">Labels!B36</f>
        <v>0</v>
      </c>
      <c r="C15" s="2" t="n">
        <f aca="false">Labels!C36</f>
        <v>0</v>
      </c>
      <c r="D15" s="2" t="n">
        <f aca="false">Labels!F36</f>
        <v>0</v>
      </c>
      <c r="E15" s="2" t="n">
        <f aca="false">Labels!G36</f>
        <v>0</v>
      </c>
      <c r="F15" s="5"/>
      <c r="G15" s="5"/>
      <c r="H15" s="5"/>
      <c r="I15" s="5"/>
      <c r="J15" s="2" t="str">
        <f aca="false">IF(F15="","",IF(F15=B15,1,0))</f>
        <v/>
      </c>
      <c r="K15" s="2" t="str">
        <f aca="false">IF(G15="","",IF(G15=C15,1,0))</f>
        <v/>
      </c>
      <c r="L15" s="2" t="str">
        <f aca="false">IF(H15="","",IF(H15=D15,1,0))</f>
        <v/>
      </c>
      <c r="M15" s="2" t="str">
        <f aca="false">IF(I15="","",IF(I15=E15,1,0))</f>
        <v/>
      </c>
      <c r="N15" s="2" t="str">
        <f aca="false">IF(OR(J15="",K15="",L15=""),"",IF(AND(J15=1,K15=1,L15=1),1,0))</f>
        <v/>
      </c>
      <c r="O15" s="5"/>
    </row>
    <row r="16" customFormat="false" ht="15" hidden="false" customHeight="false" outlineLevel="0" collapsed="false">
      <c r="A16" s="2" t="str">
        <f aca="false">Clips!A39</f>
        <v>C038</v>
      </c>
      <c r="B16" s="2" t="n">
        <f aca="false">Labels!B39</f>
        <v>0</v>
      </c>
      <c r="C16" s="2" t="n">
        <f aca="false">Labels!C39</f>
        <v>0</v>
      </c>
      <c r="D16" s="2" t="n">
        <f aca="false">Labels!F39</f>
        <v>0</v>
      </c>
      <c r="E16" s="2" t="n">
        <f aca="false">Labels!G39</f>
        <v>0</v>
      </c>
      <c r="F16" s="5"/>
      <c r="G16" s="5"/>
      <c r="H16" s="5"/>
      <c r="I16" s="5"/>
      <c r="J16" s="2" t="str">
        <f aca="false">IF(F16="","",IF(F16=B16,1,0))</f>
        <v/>
      </c>
      <c r="K16" s="2" t="str">
        <f aca="false">IF(G16="","",IF(G16=C16,1,0))</f>
        <v/>
      </c>
      <c r="L16" s="2" t="str">
        <f aca="false">IF(H16="","",IF(H16=D16,1,0))</f>
        <v/>
      </c>
      <c r="M16" s="2" t="str">
        <f aca="false">IF(I16="","",IF(I16=E16,1,0))</f>
        <v/>
      </c>
      <c r="N16" s="2" t="str">
        <f aca="false">IF(OR(J16="",K16="",L16=""),"",IF(AND(J16=1,K16=1,L16=1),1,0))</f>
        <v/>
      </c>
      <c r="O16" s="5"/>
    </row>
    <row r="17" customFormat="false" ht="15" hidden="false" customHeight="false" outlineLevel="0" collapsed="false">
      <c r="A17" s="2" t="str">
        <f aca="false">Clips!A41</f>
        <v>C040</v>
      </c>
      <c r="B17" s="2" t="n">
        <f aca="false">Labels!B41</f>
        <v>0</v>
      </c>
      <c r="C17" s="2" t="n">
        <f aca="false">Labels!C41</f>
        <v>0</v>
      </c>
      <c r="D17" s="2" t="n">
        <f aca="false">Labels!F41</f>
        <v>0</v>
      </c>
      <c r="E17" s="2" t="n">
        <f aca="false">Labels!G41</f>
        <v>0</v>
      </c>
      <c r="F17" s="5"/>
      <c r="G17" s="5"/>
      <c r="H17" s="5"/>
      <c r="I17" s="5"/>
      <c r="J17" s="2" t="str">
        <f aca="false">IF(F17="","",IF(F17=B17,1,0))</f>
        <v/>
      </c>
      <c r="K17" s="2" t="str">
        <f aca="false">IF(G17="","",IF(G17=C17,1,0))</f>
        <v/>
      </c>
      <c r="L17" s="2" t="str">
        <f aca="false">IF(H17="","",IF(H17=D17,1,0))</f>
        <v/>
      </c>
      <c r="M17" s="2" t="str">
        <f aca="false">IF(I17="","",IF(I17=E17,1,0))</f>
        <v/>
      </c>
      <c r="N17" s="2" t="str">
        <f aca="false">IF(OR(J17="",K17="",L17=""),"",IF(AND(J17=1,K17=1,L17=1),1,0))</f>
        <v/>
      </c>
      <c r="O17" s="5"/>
    </row>
    <row r="18" customFormat="false" ht="15" hidden="false" customHeight="false" outlineLevel="0" collapsed="false">
      <c r="A18" s="2" t="str">
        <f aca="false">Clips!A44</f>
        <v>C043</v>
      </c>
      <c r="B18" s="2" t="n">
        <f aca="false">Labels!B44</f>
        <v>0</v>
      </c>
      <c r="C18" s="2" t="n">
        <f aca="false">Labels!C44</f>
        <v>0</v>
      </c>
      <c r="D18" s="2" t="n">
        <f aca="false">Labels!F44</f>
        <v>0</v>
      </c>
      <c r="E18" s="2" t="n">
        <f aca="false">Labels!G44</f>
        <v>0</v>
      </c>
      <c r="F18" s="5"/>
      <c r="G18" s="5"/>
      <c r="H18" s="5"/>
      <c r="I18" s="5"/>
      <c r="J18" s="2" t="str">
        <f aca="false">IF(F18="","",IF(F18=B18,1,0))</f>
        <v/>
      </c>
      <c r="K18" s="2" t="str">
        <f aca="false">IF(G18="","",IF(G18=C18,1,0))</f>
        <v/>
      </c>
      <c r="L18" s="2" t="str">
        <f aca="false">IF(H18="","",IF(H18=D18,1,0))</f>
        <v/>
      </c>
      <c r="M18" s="2" t="str">
        <f aca="false">IF(I18="","",IF(I18=E18,1,0))</f>
        <v/>
      </c>
      <c r="N18" s="2" t="str">
        <f aca="false">IF(OR(J18="",K18="",L18=""),"",IF(AND(J18=1,K18=1,L18=1),1,0))</f>
        <v/>
      </c>
      <c r="O18" s="5"/>
    </row>
    <row r="19" customFormat="false" ht="15" hidden="false" customHeight="false" outlineLevel="0" collapsed="false">
      <c r="A19" s="2" t="str">
        <f aca="false">Clips!A46</f>
        <v>C045</v>
      </c>
      <c r="B19" s="2" t="n">
        <f aca="false">Labels!B46</f>
        <v>0</v>
      </c>
      <c r="C19" s="2" t="n">
        <f aca="false">Labels!C46</f>
        <v>0</v>
      </c>
      <c r="D19" s="2" t="n">
        <f aca="false">Labels!F46</f>
        <v>0</v>
      </c>
      <c r="E19" s="2" t="n">
        <f aca="false">Labels!G46</f>
        <v>0</v>
      </c>
      <c r="F19" s="5"/>
      <c r="G19" s="5"/>
      <c r="H19" s="5"/>
      <c r="I19" s="5"/>
      <c r="J19" s="2" t="str">
        <f aca="false">IF(F19="","",IF(F19=B19,1,0))</f>
        <v/>
      </c>
      <c r="K19" s="2" t="str">
        <f aca="false">IF(G19="","",IF(G19=C19,1,0))</f>
        <v/>
      </c>
      <c r="L19" s="2" t="str">
        <f aca="false">IF(H19="","",IF(H19=D19,1,0))</f>
        <v/>
      </c>
      <c r="M19" s="2" t="str">
        <f aca="false">IF(I19="","",IF(I19=E19,1,0))</f>
        <v/>
      </c>
      <c r="N19" s="2" t="str">
        <f aca="false">IF(OR(J19="",K19="",L19=""),"",IF(AND(J19=1,K19=1,L19=1),1,0))</f>
        <v/>
      </c>
      <c r="O19" s="5"/>
    </row>
    <row r="20" customFormat="false" ht="15" hidden="false" customHeight="false" outlineLevel="0" collapsed="false">
      <c r="A20" s="2" t="str">
        <f aca="false">Clips!A49</f>
        <v>C048</v>
      </c>
      <c r="B20" s="2" t="n">
        <f aca="false">Labels!B49</f>
        <v>0</v>
      </c>
      <c r="C20" s="2" t="n">
        <f aca="false">Labels!C49</f>
        <v>0</v>
      </c>
      <c r="D20" s="2" t="n">
        <f aca="false">Labels!F49</f>
        <v>0</v>
      </c>
      <c r="E20" s="2" t="n">
        <f aca="false">Labels!G49</f>
        <v>0</v>
      </c>
      <c r="F20" s="5"/>
      <c r="G20" s="5"/>
      <c r="H20" s="5"/>
      <c r="I20" s="5"/>
      <c r="J20" s="2" t="str">
        <f aca="false">IF(F20="","",IF(F20=B20,1,0))</f>
        <v/>
      </c>
      <c r="K20" s="2" t="str">
        <f aca="false">IF(G20="","",IF(G20=C20,1,0))</f>
        <v/>
      </c>
      <c r="L20" s="2" t="str">
        <f aca="false">IF(H20="","",IF(H20=D20,1,0))</f>
        <v/>
      </c>
      <c r="M20" s="2" t="str">
        <f aca="false">IF(I20="","",IF(I20=E20,1,0))</f>
        <v/>
      </c>
      <c r="N20" s="2" t="str">
        <f aca="false">IF(OR(J20="",K20="",L20=""),"",IF(AND(J20=1,K20=1,L20=1),1,0))</f>
        <v/>
      </c>
      <c r="O20" s="5"/>
    </row>
    <row r="21" customFormat="false" ht="15" hidden="false" customHeight="false" outlineLevel="0" collapsed="false">
      <c r="A21" s="2" t="str">
        <f aca="false">Clips!A51</f>
        <v>C050</v>
      </c>
      <c r="B21" s="2" t="n">
        <f aca="false">Labels!B51</f>
        <v>0</v>
      </c>
      <c r="C21" s="2" t="n">
        <f aca="false">Labels!C51</f>
        <v>0</v>
      </c>
      <c r="D21" s="2" t="n">
        <f aca="false">Labels!F51</f>
        <v>0</v>
      </c>
      <c r="E21" s="2" t="n">
        <f aca="false">Labels!G51</f>
        <v>0</v>
      </c>
      <c r="F21" s="5"/>
      <c r="G21" s="5"/>
      <c r="H21" s="5"/>
      <c r="I21" s="5"/>
      <c r="J21" s="2" t="str">
        <f aca="false">IF(F21="","",IF(F21=B21,1,0))</f>
        <v/>
      </c>
      <c r="K21" s="2" t="str">
        <f aca="false">IF(G21="","",IF(G21=C21,1,0))</f>
        <v/>
      </c>
      <c r="L21" s="2" t="str">
        <f aca="false">IF(H21="","",IF(H21=D21,1,0))</f>
        <v/>
      </c>
      <c r="M21" s="2" t="str">
        <f aca="false">IF(I21="","",IF(I21=E21,1,0))</f>
        <v/>
      </c>
      <c r="N21" s="2" t="str">
        <f aca="false">IF(OR(J21="",K21="",L21=""),"",IF(AND(J21=1,K21=1,L21=1),1,0))</f>
        <v/>
      </c>
      <c r="O21" s="5"/>
    </row>
  </sheetData>
  <dataValidations count="4">
    <dataValidation allowBlank="true" errorStyle="stop" operator="between" showDropDown="false" showErrorMessage="false" showInputMessage="false" sqref="F2:F22" type="list">
      <formula1>"indoor_home,indoor_public,outdoor_urban,outdoor_nature,vehicle,studio_screen,unclear"</formula1>
      <formula2>0</formula2>
    </dataValidation>
    <dataValidation allowBlank="true" errorStyle="stop" operator="between" showDropDown="false" showErrorMessage="false" showInputMessage="false" sqref="G2:G22" type="list">
      <formula1>"walking,running,cooking,eating,talking,playing_instrument,playing_sport,driving,dancing,working_on_device,cleaning,animal_moving,no_clear_action,other"</formula1>
      <formula2>0</formula2>
    </dataValidation>
    <dataValidation allowBlank="true" errorStyle="stop" operator="between" showDropDown="false" showErrorMessage="false" showInputMessage="false" sqref="H2:H22" type="list">
      <formula1>"safe,unsafe,needs_review"</formula1>
      <formula2>0</formula2>
    </dataValidation>
    <dataValidation allowBlank="true" errorStyle="stop" operator="between" showDropDown="false" showErrorMessage="false" showInputMessage="false" sqref="I2:I22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8" t="s">
        <v>108</v>
      </c>
      <c r="B1" s="8" t="s">
        <v>109</v>
      </c>
      <c r="C1" s="8" t="s">
        <v>110</v>
      </c>
    </row>
    <row r="2" customFormat="false" ht="15" hidden="false" customHeight="false" outlineLevel="0" collapsed="false">
      <c r="A2" s="2" t="s">
        <v>111</v>
      </c>
      <c r="B2" s="2" t="n">
        <f aca="false">COUNTA(Clips!B2:B51)</f>
        <v>1</v>
      </c>
      <c r="C2" s="2" t="s">
        <v>112</v>
      </c>
    </row>
    <row r="3" customFormat="false" ht="15" hidden="false" customHeight="false" outlineLevel="0" collapsed="false">
      <c r="A3" s="2" t="s">
        <v>113</v>
      </c>
      <c r="B3" s="2" t="n">
        <f aca="false">COUNTA(Labels!B2:B51)</f>
        <v>1</v>
      </c>
      <c r="C3" s="2"/>
    </row>
    <row r="4" customFormat="false" ht="15" hidden="false" customHeight="false" outlineLevel="0" collapsed="false">
      <c r="A4" s="2" t="s">
        <v>114</v>
      </c>
      <c r="B4" s="2" t="n">
        <f aca="false">COUNTIF(Labels!F2:F51,"safe")</f>
        <v>1</v>
      </c>
      <c r="C4" s="2"/>
    </row>
    <row r="5" customFormat="false" ht="15" hidden="false" customHeight="false" outlineLevel="0" collapsed="false">
      <c r="A5" s="2" t="s">
        <v>115</v>
      </c>
      <c r="B5" s="2" t="n">
        <f aca="false">COUNTIF(Labels!F2:F51,"unsafe")</f>
        <v>0</v>
      </c>
      <c r="C5" s="2"/>
    </row>
    <row r="6" customFormat="false" ht="15" hidden="false" customHeight="false" outlineLevel="0" collapsed="false">
      <c r="A6" s="2" t="s">
        <v>116</v>
      </c>
      <c r="B6" s="2" t="n">
        <f aca="false">COUNTIF(Labels!F2:F51,"needs_review")</f>
        <v>0</v>
      </c>
      <c r="C6" s="2"/>
    </row>
    <row r="7" customFormat="false" ht="15" hidden="false" customHeight="false" outlineLevel="0" collapsed="false">
      <c r="A7" s="2" t="s">
        <v>117</v>
      </c>
      <c r="B7" s="2" t="n">
        <f aca="false">COUNTIF(Labels!G2:G51,"Low")</f>
        <v>0</v>
      </c>
      <c r="C7" s="2"/>
    </row>
    <row r="8" customFormat="false" ht="15" hidden="false" customHeight="false" outlineLevel="0" collapsed="false">
      <c r="A8" s="2" t="s">
        <v>118</v>
      </c>
      <c r="B8" s="2" t="n">
        <f aca="false">COUNT(Caption_Eval!D2:D51)</f>
        <v>1</v>
      </c>
      <c r="C8" s="2"/>
    </row>
    <row r="9" customFormat="false" ht="15" hidden="false" customHeight="false" outlineLevel="0" collapsed="false">
      <c r="A9" s="2" t="s">
        <v>119</v>
      </c>
      <c r="B9" s="9" t="n">
        <f aca="false">IFERROR(AVERAGE(Caption_Eval!D2:D51),"n/a")</f>
        <v>3</v>
      </c>
      <c r="C9" s="2"/>
    </row>
    <row r="10" customFormat="false" ht="15" hidden="false" customHeight="false" outlineLevel="0" collapsed="false">
      <c r="A10" s="2" t="s">
        <v>120</v>
      </c>
      <c r="B10" s="2" t="n">
        <f aca="false">COUNTIF(Caption_Eval!F2:F51,"Y")</f>
        <v>1</v>
      </c>
      <c r="C10" s="2"/>
    </row>
    <row r="11" customFormat="false" ht="15" hidden="false" customHeight="false" outlineLevel="0" collapsed="false">
      <c r="A11" s="2" t="s">
        <v>121</v>
      </c>
      <c r="B11" s="2" t="n">
        <f aca="false">COUNTIF(Caption_Eval!E2:E51,"Y")</f>
        <v>1</v>
      </c>
      <c r="C11" s="2"/>
    </row>
    <row r="12" customFormat="false" ht="15" hidden="false" customHeight="false" outlineLevel="0" collapsed="false">
      <c r="A12" s="2" t="s">
        <v>122</v>
      </c>
      <c r="B12" s="2" t="n">
        <f aca="false">COUNTIF(Caption_Eval!G2:G51,"Y")</f>
        <v>0</v>
      </c>
      <c r="C12" s="2"/>
    </row>
    <row r="13" customFormat="false" ht="15" hidden="false" customHeight="false" outlineLevel="0" collapsed="false">
      <c r="A13" s="2" t="s">
        <v>123</v>
      </c>
      <c r="B13" s="2" t="n">
        <f aca="false">COUNTIF(Caption_Eval!H2:H51,"Y")</f>
        <v>0</v>
      </c>
      <c r="C13" s="2"/>
    </row>
    <row r="14" customFormat="false" ht="15" hidden="false" customHeight="false" outlineLevel="0" collapsed="false">
      <c r="A14" s="2" t="s">
        <v>124</v>
      </c>
      <c r="B14" s="2" t="n">
        <f aca="false">COUNT(Relabel!N2:N21)</f>
        <v>0</v>
      </c>
      <c r="C14" s="2" t="s">
        <v>125</v>
      </c>
    </row>
    <row r="15" customFormat="false" ht="15" hidden="false" customHeight="false" outlineLevel="0" collapsed="false">
      <c r="A15" s="2" t="s">
        <v>126</v>
      </c>
      <c r="B15" s="10" t="str">
        <f aca="false">IFERROR(SUM(Relabel!J2:J21)/COUNT(Relabel!J2:J21),"n/a")</f>
        <v>n/a</v>
      </c>
      <c r="C15" s="2" t="s">
        <v>127</v>
      </c>
    </row>
    <row r="16" customFormat="false" ht="15" hidden="false" customHeight="false" outlineLevel="0" collapsed="false">
      <c r="A16" s="2" t="s">
        <v>128</v>
      </c>
      <c r="B16" s="10" t="str">
        <f aca="false">IFERROR(SUM(Relabel!K2:K21)/COUNT(Relabel!K2:K21),"n/a")</f>
        <v>n/a</v>
      </c>
      <c r="C16" s="2" t="s">
        <v>127</v>
      </c>
    </row>
    <row r="17" customFormat="false" ht="15" hidden="false" customHeight="false" outlineLevel="0" collapsed="false">
      <c r="A17" s="2" t="s">
        <v>129</v>
      </c>
      <c r="B17" s="10" t="str">
        <f aca="false">IFERROR(SUM(Relabel!L2:L21)/COUNT(Relabel!L2:L21),"n/a")</f>
        <v>n/a</v>
      </c>
      <c r="C17" s="2" t="s">
        <v>127</v>
      </c>
    </row>
    <row r="18" customFormat="false" ht="15" hidden="false" customHeight="false" outlineLevel="0" collapsed="false">
      <c r="A18" s="2" t="s">
        <v>130</v>
      </c>
      <c r="B18" s="10" t="str">
        <f aca="false">IFERROR(SUM(Relabel!M2:M21)/COUNT(Relabel!M2:M21),"n/a")</f>
        <v>n/a</v>
      </c>
      <c r="C18" s="2" t="s">
        <v>127</v>
      </c>
    </row>
    <row r="19" customFormat="false" ht="15" hidden="false" customHeight="false" outlineLevel="0" collapsed="false">
      <c r="A19" s="2" t="s">
        <v>131</v>
      </c>
      <c r="B19" s="10" t="str">
        <f aca="false">IFERROR(SUM(Relabel!N2:N21)/COUNT(Relabel!N2:N21),"n/a")</f>
        <v>n/a</v>
      </c>
      <c r="C19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2026-10-19T08:53:06Z</dcterms:created>
  <dc:creator>openpyxl</dc:creator>
  <dc:description/>
  <dc:language>en-US</dc:language>
  <cp:lastModifiedBy/>
  <dcterms:modified xsi:type="dcterms:W3CDTF">2026-10-19T08:53:06Z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